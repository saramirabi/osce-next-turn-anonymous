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422cd6c815444e" /></Relationships>
</file>

<file path=xl/workbook.xml><?xml version="1.0" encoding="utf-8"?>
<x:workbook xmlns:x="http://schemas.openxmlformats.org/spreadsheetml/2006/main">
  <x:sheets>
    <x:sheet xmlns:r="http://schemas.openxmlformats.org/officeDocument/2006/relationships" name="Instructions" sheetId="1" r:id="Re6b1739556fa452e"/>
    <x:sheet xmlns:r="http://schemas.openxmlformats.org/officeDocument/2006/relationships" name="Codebook" sheetId="2" r:id="R4ccedd7ebf9247a0"/>
    <x:sheet xmlns:r="http://schemas.openxmlformats.org/officeDocument/2006/relationships" name="Coding Sheet" sheetId="3" r:id="Ra603b99b961b4be5"/>
    <x:sheet xmlns:r="http://schemas.openxmlformats.org/officeDocument/2006/relationships" name="Progress" sheetId="4" r:id="R50d7443593784b4a"/>
  </x:sheets>
</x:workbook>
</file>

<file path=xl/sharedStrings.xml><?xml version="1.0" encoding="utf-8"?>
<x:sst xmlns:x="http://schemas.openxmlformats.org/spreadsheetml/2006/main">
  <x:si>
    <x:t xml:space="preserve">Human validation of automatic pragmatic coding</x:t>
  </x:si>
  <x:si>
    <x:t xml:space="preserve">ALTA 2026 submission: pragmatic signatures in clinical history-taking</x:t>
  </x:si>
  <x:si>
    <x:t xml:space="preserve">What this is</x:t>
  </x:si>
  <x:si>
    <x:t xml:space="preserve">Purpose</x:t>
  </x:si>
  <x:si>
    <x:t xml:space="preserve">The study extracts two pragmatic variables automatically using transparent rules: (a) the number of distinct information requests contained in a clinician turn, and (b) the primary discourse function of that turn. Reviewers will reasonably ask whether those automatic labels agree with a trained human reader, so this exercise produces the agreement statistics (Cohen's kappa, and precision and recall for the phase-switch indicator) that the paper reports.</x:t>
  </x:si>
  <x:si>
    <x:t xml:space="preserve">What you receive</x:t>
  </x:si>
  <x:si>
    <x:t xml:space="preserve">150 clinician turns drawn from simulated OSCE consultations. Each item shows the closing stretch of the preceding conversation, the immediately preceding patient contribution, and the single clinician turn to be coded. The full preceding context is available in the last column of the coding sheet if you want it.</x:t>
  </x:si>
  <x:si>
    <x:t xml:space="preserve">Blinding</x:t>
  </x:si>
  <x:si>
    <x:t xml:space="preserve">The turns are presented in random order and the source of each turn is deliberately hidden. Some turns were produced by the original human clinician and others by language models, and you should not attempt to work out which is which. Please code every turn on its own terms.</x:t>
  </x:si>
  <x:si>
    <x:t xml:space="preserve">Time required</x:t>
  </x:si>
  <x:si>
    <x:t xml:space="preserve">Approximately 35 to 50 minutes. The work can be done in several sittings; the file saves your progress like any spreadsheet, and the Progress sheet shows how many items remain.</x:t>
  </x:si>
  <x:si>
    <x:t xml:space="preserve">How to use the file</x:t>
  </x:si>
  <x:si>
    <x:t xml:space="preserve">Where to type</x:t>
  </x:si>
  <x:si>
    <x:t xml:space="preserve">Go to the 'Coding Sheet' tab and fill in the four shaded columns only: Q1, Q2, Q3 and Notes. Columns A to E are read-only reference material and should be left untouched.</x:t>
  </x:si>
  <x:si>
    <x:t xml:space="preserve">Dropdowns</x:t>
  </x:si>
  <x:si>
    <x:t xml:space="preserve">Q1, Q2 and Q3 have dropdown menus, so you can either select a value or type the code directly. Row 4 of the coding sheet is a grey worked example that is excluded from scoring; the real items begin at row 5 and run to row 154.</x:t>
  </x:si>
  <x:si>
    <x:t xml:space="preserve">If you are unsure</x:t>
  </x:si>
  <x:si>
    <x:t xml:space="preserve">Record your best judgement in Q1 and Q2 anyway, and set Q3 to 'Y'. Uncertain items are analysed separately, so please do not leave any cell blank.</x:t>
  </x:si>
  <x:si>
    <x:t xml:space="preserve">Q1. Number of distinct information requests</x:t>
  </x:si>
  <x:si>
    <x:t xml:space="preserve">Definition</x:t>
  </x:si>
  <x:si>
    <x:t xml:space="preserve">Count the number of separate pieces of information the clinician is asking the patient to supply in this turn. This is a count of requests rather than a count of sentences or question marks, and many of these transcripts omit question marks, so an utterance such as 'Any fevers or chills' is still a request.</x:t>
  </x:si>
  <x:si>
    <x:t xml:space="preserve">Rule 1</x:t>
  </x:si>
  <x:si>
    <x:t xml:space="preserve">Alternative descriptors of one and the same attribute count once. 'Does the pain spread to your arm, jaw or back' asks a single question about radiation and therefore counts as one request.</x:t>
  </x:si>
  <x:si>
    <x:t xml:space="preserve">Rule 2</x:t>
  </x:si>
  <x:si>
    <x:t xml:space="preserve">Distinct symptoms or distinct attributes count separately, even when they appear in a single sentence. 'Have you had any fever, and have you lost any weight' counts as two requests.</x:t>
  </x:si>
  <x:si>
    <x:t xml:space="preserve">Rule 3</x:t>
  </x:si>
  <x:si>
    <x:t xml:space="preserve">Acknowledgements, reassurance, explanation and framing carry no request and add nothing to the count. A turn containing no request at all is coded 0.</x:t>
  </x:si>
  <x:si>
    <x:t xml:space="preserve">Options</x:t>
  </x:si>
  <x:si>
    <x:t xml:space="preserve">0, 1, 2, 3, 4, 5+ (use '5+' for five or more).</x:t>
  </x:si>
  <x:si>
    <x:t xml:space="preserve">Q2. Primary discourse function</x:t>
  </x:si>
  <x:si>
    <x:t xml:space="preserve">  HIST</x:t>
  </x:si>
  <x:si>
    <x:t xml:space="preserve">History taking or information elicitation. The substantive purpose of the turn is to obtain history from the patient, including screening questions and clarifying follow-ups.</x:t>
  </x:si>
  <x:si>
    <x:t xml:space="preserve">  INTERP</x:t>
  </x:si>
  <x:si>
    <x:t xml:space="preserve">Interpretation, explanation or diagnosis. The clinician offers an assessment of what is going on, names a likely cause, or explains the significance of what has been described.</x:t>
  </x:si>
  <x:si>
    <x:t xml:space="preserve">  EXAM</x:t>
  </x:si>
  <x:si>
    <x:t xml:space="preserve">Physical examination or in-room procedure. The clinician proposes, announces or conducts an examination, or asks the patient to move or be examined.</x:t>
  </x:si>
  <x:si>
    <x:t xml:space="preserve">  MGMT</x:t>
  </x:si>
  <x:si>
    <x:t xml:space="preserve">Management, investigation or escalation. The clinician orders tests or imaging, proposes treatment, refers, admits, or escalates on safety grounds.</x:t>
  </x:si>
  <x:si>
    <x:t xml:space="preserve">  CLOSE</x:t>
  </x:si>
  <x:si>
    <x:t xml:space="preserve">Closing or transition. The clinician summarises and hands back, invites final questions, or moves to end the consultation.</x:t>
  </x:si>
  <x:si>
    <x:t xml:space="preserve">  ACK</x:t>
  </x:si>
  <x:si>
    <x:t xml:space="preserve">Acknowledgement only. The turn does nothing but receipt what the patient said, with no request and no substantive move.</x:t>
  </x:si>
  <x:si>
    <x:t xml:space="preserve">  OTHER</x:t>
  </x:si>
  <x:si>
    <x:t xml:space="preserve">Anything that does not fit the categories above, including administrative content.</x:t>
  </x:si>
  <x:si>
    <x:t xml:space="preserve">Mixed turns</x:t>
  </x:si>
  <x:si>
    <x:t xml:space="preserve">Many turns do more than one thing. Code the function that carries the substantive purpose of the turn. A turn that acknowledges the patient and then asks about nausea is HIST rather than ACK, because the acknowledgement is preliminary to the request. A turn that explains a likely diagnosis and then asks a single confirmatory question is INTERP if the explanation is the point of the turn, and HIST if the explanation merely frames the question.</x:t>
  </x:si>
  <x:si>
    <x:t xml:space="preserve">Q3. Uncertainty flag</x:t>
  </x:si>
  <x:si>
    <x:t xml:space="preserve">When to use</x:t>
  </x:si>
  <x:si>
    <x:t xml:space="preserve">Set Q3 to 'Y' when the item was genuinely difficult to code, whether because the turn is ambiguous between two functions or because the request count depends on where the boundaries between requests are drawn. Otherwise set 'N'. A short note explaining the difficulty is welcome but not required.</x:t>
  </x:si>
  <x:si>
    <x:t xml:space="preserve">Worked examples</x:t>
  </x:si>
  <x:si>
    <x:t xml:space="preserve">Example</x:t>
  </x:si>
  <x:si>
    <x:t xml:space="preserve">Turn text  |  Q1  |  Q2  |  Reasoning</x:t>
  </x:si>
  <x:si>
    <x:t xml:space="preserve">  Example 1</x:t>
  </x:si>
  <x:si>
    <x:t xml:space="preserve">"OK, and does the pain go anywhere else, like into your arm or jaw?"
     Q1 = 1   Q2 = HIST   -   One attribute, radiation, with alternative sites listed.</x:t>
  </x:si>
  <x:si>
    <x:t xml:space="preserve">  Example 2</x:t>
  </x:si>
  <x:si>
    <x:t xml:space="preserve">"Any fevers, chills, or night sweats? And have you noticed any weight loss recently?"
     Q1 = 4   Q2 = HIST   -   Fever, chills and night sweats are three distinct symptoms, and weight loss is a fourth.</x:t>
  </x:si>
  <x:si>
    <x:t xml:space="preserve">  Example 3</x:t>
  </x:si>
  <x:si>
    <x:t xml:space="preserve">"I'd like to listen to your chest and take your blood pressure now."
     Q1 = 0   Q2 = EXAM   -   No information is requested from the patient, and the substantive move is examination.</x:t>
  </x:si>
  <x:si>
    <x:t xml:space="preserve">  Example 4</x:t>
  </x:si>
  <x:si>
    <x:t xml:space="preserve">"This sounds like it could be reflux rather than anything cardiac, which is reassuring."
     Q1 = 0   Q2 = INTERP   -   Explanation and interpretation with no request.</x:t>
  </x:si>
  <x:si>
    <x:t xml:space="preserve">  Example 5</x:t>
  </x:si>
  <x:si>
    <x:t xml:space="preserve">"Given the chest pain and shortness of breath we should get an ECG straight away. Have you had heart problems before?"
     Q1 = 1   Q2 = MGMT   -   One request, but the substantive purpose of the turn is escalation to investigation.</x:t>
  </x:si>
  <x:si>
    <x:t xml:space="preserve">  Example 6</x:t>
  </x:si>
  <x:si>
    <x:t xml:space="preserve">"Mm hmm. I see."
     Q1 = 0   Q2 = ACK   -   Receipt only.</x:t>
  </x:si>
  <x:si>
    <x:t xml:space="preserve">Please do not</x:t>
  </x:si>
  <x:si>
    <x:t xml:space="preserve">Do not edit columns A to E, do not re-order or delete rows, and do not attempt to identify which turns came from a language model. Return the file with the same name or with your initials appended.</x:t>
  </x:si>
  <x:si>
    <x:t xml:space="preserve">Quick reference codebook</x:t>
  </x:si>
  <x:si>
    <x:t xml:space="preserve">Code</x:t>
  </x:si>
  <x:si>
    <x:t xml:space="preserve">Short gloss</x:t>
  </x:si>
  <x:si>
    <x:t xml:space="preserve">Use when</x:t>
  </x:si>
  <x:si>
    <x:t xml:space="preserve">Q1 = 0</x:t>
  </x:si>
  <x:si>
    <x:t xml:space="preserve">no request</x:t>
  </x:si>
  <x:si>
    <x:t xml:space="preserve">The turn asks the patient for nothing.</x:t>
  </x:si>
  <x:si>
    <x:t xml:space="preserve">Q1 = 1</x:t>
  </x:si>
  <x:si>
    <x:t xml:space="preserve">single request</x:t>
  </x:si>
  <x:si>
    <x:t xml:space="preserve">One piece of information, however it is worded.</x:t>
  </x:si>
  <x:si>
    <x:t xml:space="preserve">Q1 = 2..5+</x:t>
  </x:si>
  <x:si>
    <x:t xml:space="preserve">bundled request</x:t>
  </x:si>
  <x:si>
    <x:t xml:space="preserve">Two or more distinct pieces of information in one turn.</x:t>
  </x:si>
  <x:si>
    <x:t xml:space="preserve">HIST</x:t>
  </x:si>
  <x:si>
    <x:t xml:space="preserve">history taking</x:t>
  </x:si>
  <x:si>
    <x:t xml:space="preserve">Obtaining history from the patient.</x:t>
  </x:si>
  <x:si>
    <x:t xml:space="preserve">INTERP</x:t>
  </x:si>
  <x:si>
    <x:t xml:space="preserve">interpretation</x:t>
  </x:si>
  <x:si>
    <x:t xml:space="preserve">Explaining, assessing or naming a likely diagnosis.</x:t>
  </x:si>
  <x:si>
    <x:t xml:space="preserve">EXAM</x:t>
  </x:si>
  <x:si>
    <x:t xml:space="preserve">examination</x:t>
  </x:si>
  <x:si>
    <x:t xml:space="preserve">Proposing or conducting a physical examination.</x:t>
  </x:si>
  <x:si>
    <x:t xml:space="preserve">MGMT</x:t>
  </x:si>
  <x:si>
    <x:t xml:space="preserve">management</x:t>
  </x:si>
  <x:si>
    <x:t xml:space="preserve">Tests, treatment, referral, admission or safety escalation.</x:t>
  </x:si>
  <x:si>
    <x:t xml:space="preserve">CLOSE</x:t>
  </x:si>
  <x:si>
    <x:t xml:space="preserve">closing</x:t>
  </x:si>
  <x:si>
    <x:t xml:space="preserve">Summarising, inviting final questions, ending.</x:t>
  </x:si>
  <x:si>
    <x:t xml:space="preserve">ACK</x:t>
  </x:si>
  <x:si>
    <x:t xml:space="preserve">acknowledgement</x:t>
  </x:si>
  <x:si>
    <x:t xml:space="preserve">Receipt only, no substantive move.</x:t>
  </x:si>
  <x:si>
    <x:t xml:space="preserve">OTHER</x:t>
  </x:si>
  <x:si>
    <x:t xml:space="preserve">other</x:t>
  </x:si>
  <x:si>
    <x:t xml:space="preserve">Administrative or unclassifiable.</x:t>
  </x:si>
  <x:si>
    <x:t xml:space="preserve">Q3 = Y</x:t>
  </x:si>
  <x:si>
    <x:t xml:space="preserve">uncertain</x:t>
  </x:si>
  <x:si>
    <x:t xml:space="preserve">The item was genuinely difficult to code.</x:t>
  </x:si>
  <x:si>
    <x:t xml:space="preserve">Coding sheet: fill in the four shaded columns (F to I) only. Real items begin at row 5.</x:t>
  </x:si>
  <x:si>
    <x:t xml:space="preserve">Shaded = you type here. Unshaded = read only. Row 4 is a worked example and is not scored.</x:t>
  </x:si>
  <x:si>
    <x:t xml:space="preserve">Item ID</x:t>
  </x:si>
  <x:si>
    <x:t xml:space="preserve">Position in consultation</x:t>
  </x:si>
  <x:si>
    <x:t xml:space="preserve">Preceding conversation (final exchanges)</x:t>
  </x:si>
  <x:si>
    <x:t xml:space="preserve">Latest patient turn</x:t>
  </x:si>
  <x:si>
    <x:t xml:space="preserve">CLINICIAN TURN TO CODE</x:t>
  </x:si>
  <x:si>
    <x:t xml:space="preserve">Q1: number of information requests</x:t>
  </x:si>
  <x:si>
    <x:t xml:space="preserve">Q2: primary function</x:t>
  </x:si>
  <x:si>
    <x:t xml:space="preserve">Q3: uncertain? (Y/N)</x:t>
  </x:si>
  <x:si>
    <x:t xml:space="preserve">Notes (optional)</x:t>
  </x:si>
  <x:si>
    <x:t xml:space="preserve">Full preceding context (reference only)</x:t>
  </x:si>
  <x:si>
    <x:t xml:space="preserve">EXAMPLE</x:t>
  </x:si>
  <x:si>
    <x:t xml:space="preserve">middle</x:t>
  </x:si>
  <x:si>
    <x:t xml:space="preserve">Doctor: OK, and how would you describe the pain?
Patient: Quite sharp, especially when I breathe in.</x:t>
  </x:si>
  <x:si>
    <x:t xml:space="preserve">Quite sharp, especially when I breathe in.</x:t>
  </x:si>
  <x:si>
    <x:t xml:space="preserve">OK. And have you had any fever, or any cough with it?</x:t>
  </x:si>
  <x:si>
    <x:t xml:space="preserve">2</x:t>
  </x:si>
  <x:si>
    <x:t xml:space="preserve">N</x:t>
  </x:si>
  <x:si>
    <x:t xml:space="preserve">Fever and cough are two distinct symptoms.</x:t>
  </x:si>
  <x:si>
    <x:t xml:space="preserve">V001</x:t>
  </x:si>
  <x:si>
    <x:t xml:space="preserve">[...earlier consultation omitted...]
Doctor: Any urinary problems like pain or or going often?
Patient: Uh no, nothing like that.
Doctor: OK. Uh have you noticed any rashes anywhere?
Patient: No, no rashes.
Doctor: Have you had any muscle aches or joint pains?
Patient: Um no, nothing like that.</x:t>
  </x:si>
  <x:si>
    <x:t xml:space="preserve">Um no, nothing like that.</x:t>
  </x:si>
  <x:si>
    <x:t xml:space="preserve">OK. Um and have you had any headaches?</x:t>
  </x:si>
  <x:si>
    <x:t xml:space="preserve">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x:t>
  </x:si>
  <x:si>
    <x:t xml:space="preserve">V002</x:t>
  </x:si>
  <x:si>
    <x:t xml:space="preserve">[...earlier consultation omitted...]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x:t>
  </x:si>
  <x:si>
    <x:t xml:space="preserve">Yeah I, I have allergies to peanuts.</x:t>
  </x:si>
  <x:si>
    <x:t xml:space="preserve">What happens?</x:t>
  </x:si>
  <x:si>
    <x:t xml:space="preserve">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x:t>
  </x:si>
  <x:si>
    <x:t xml:space="preserve">V003</x:t>
  </x:si>
  <x:si>
    <x:t xml:space="preserve">late</x:t>
  </x:si>
  <x:si>
    <x:t xml:space="preserve">[...earlier consultation omitted...]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x:t>
  </x:si>
  <x:si>
    <x:t xml:space="preserve">Sometimes on weekends or if I'm socializing with friends, but not very often.</x:t>
  </x:si>
  <x:si>
    <x:t xml:space="preserve">OK, and do you smoke cigarettes or use any other tobacco products?</x:t>
  </x:si>
  <x:si>
    <x:t xml:space="preserve">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x:t>
  </x:si>
  <x:si>
    <x:t xml:space="preserve">V004</x:t>
  </x:si>
  <x:si>
    <x:t xml:space="preserve">[...earlier consultation omitted...]
Doctor: Have you had any night sweats?
Patient: No.
Doctor: OK. Um and have you had any heart palpitations or feeling like your heart's racing?
Patient: No.
Doctor: Have you had any fainting or lightheadedness or dizziness?
Patient: Um no.</x:t>
  </x:si>
  <x:si>
    <x:t xml:space="preserve">Um no.</x:t>
  </x:si>
  <x:si>
    <x:t xml:space="preserve">OK. How about any abdominal pain?</x:t>
  </x:si>
  <x:si>
    <x:t xml:space="preserve">Doctor: How may I help you?
Patient: Hi, I'm I'm coming in because um I've had a lot of shortness of breath and I I've had this cough that won't seem to go away.
Doctor: I see alright, so when does the shortness of breath happen it? Do you have it at rest or is it on exertion?
Patient: Mostly on exertion.
Doctor: OK, how far are you able to walk before you get shorter breath? Or how many flights of stairs are you able to do?
Patient: Uh maybe like 2 flights of stairs?
Doctor: OK. And when did you notice that the change?
Patient: So I've had this shortness of breath like at first it was pretty mild. It started about, four months ago, but over the past month or so, it's been it's been worse.
Doctor: OK, so a bit so it's been going on for a bit of time now.
Patient: Yeah,
Doctor: OK um. Do you, are you able to lie down flat without experiencing shorter breath?
Patient: Yeah, I think so. I think that's fine.
Doctor: OK, um so so it sounds like no orthop is what they call it, and have you had any episodes where you wake up in the middle of the night and you're short of breath and you need to sit up an end to catch it?
Patient: Uh no.
Doctor: OK, and have you had any leg swelling?
Patient: No.
Doctor: OK. Any, you mentioned that you've had a cough as well. How long have you experienced a cough for?
Patient: Uh, the cough also around the same time it started off pretty mild, but now I like I have it all the time.
Doctor: OK, are you coughing up any sputum or any phlegm?
Patient: Uh no it's it's pretty dry.
Doctor: Are you coughing up any blood?
Patient: No.
Doctor: OK. And have you had any um wheezing?
Patient: No wheezing.
Doctor: OK. How how about any chest pain?
Patient: Uh no chest pain, I guess with the coughing 'cause I'm coughing so much it hurts but not chest pain in the sense like it's in the area of my heart or anything like that.
Doctor: OK, so does that. Like how would you describe it? Is it like sharp, achy, uh dull or pressure like?
Patient: Um it's a. It's kind of like a tugging feeling.
Doctor: OK, um it does it go away after you're done coughing,
Patient: Yeah.
Doctor: I see OK. And have you experienced any um any headaches?
Patient: No, no headaches.
Doctor: OK, how about any um? Like eye redness or eye discharge?
Patient: No.
Doctor: any ear pain or your discharge?
Patient: No.
Doctor: How about any changes to vision or hearing?
Patient: No.
Doctor: OK. Have you had a runny nose or sore throat?
Patient: No.
Doctor: OK, how about um any changes to or have you had any loss of smell or any loss of taste?
Patient: No.
Doctor: OK. And have you had a loss of appetite?
Patient: No.
Doctor: OK, and have you had any unexpected weight loss over the last several months?
Patient: Um I have had some weight loss actually. About 15 pounds over the past six months.
Doctor: OK, and have you been trying to lose weight?
Patient: No.
Doctor: OK. Um have you had any fevers?
Patient: No.
Doctor: Have you had any chills?
Patient: No.
Doctor: Have you had any night sweats?
Patient: No.
Doctor: OK. Um and have you had any heart palpitations or feeling like your heart's racing?
Patient: No.
Doctor: Have you had any fainting or lightheadedness or dizziness?
Patient: Um no.</x:t>
  </x:si>
  <x:si>
    <x:t xml:space="preserve">V005</x:t>
  </x:si>
  <x:si>
    <x:t xml:space="preserve">[...earlier consultation omitted...]
Doctor: Anything else?
Patient: No.
Doctor: OK, are you taking any medications including over the counter?
Patient: No, I just take my multivitamins.
Doctor: And uhm are you um are you currently living alone or do you live with someone?
Patient: I live with my parents and my two siblings.</x:t>
  </x:si>
  <x:si>
    <x:t xml:space="preserve">I live with my parents and my two siblings.</x:t>
  </x:si>
  <x:si>
    <x:t xml:space="preserve">OK, and are they feeling well?</x:t>
  </x:si>
  <x:si>
    <x:t xml:space="preserve">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
Doctor: Uh a cough?
Patient: No.
Doctor: OK. Have you had any difficulties breathing?
Patient: No.
Doctor: Any chest pain?
Patient: No.
Doctor: Any sort of um congestion, do you feel like your nose is stuffy or hurts your, uh, in your cheeks or your head when you bend down?
Patient: No.
Doctor: No, OK. Um so all you have is a sore throat and this fever, OK um and um, OK. You have a headache?
Patient: Um no headaches.
Doctor: Do you feel like you've been confused or just feeling not yourself?
Patient: No, nothing like that.
Doctor: OK. Any uh changes in your hearing or your vision?
Patient: No.
Doctor: OK, any um and do you feel like your heart's beating very fast?
Patient: Uh no.
Doctor: Do you feel short of breath?
Patient: Nope.
Doctor: Any uh belly pain?
Patient: No.
Doctor: Any nausea or vomiting?
Patient: Uh no.
Doctor: OK, any diarrhea or constipation?
Patient: No.
Doctor: Any fatigue?
Patient: No.
Doctor: Weight loss? Unintentional.
Patient: No weight loss, no.
Doctor: Uh and uh do you have any medical conditions?
Patient: Uhm no, I don't think so.
Doctor: OK, are you up to date with your immunizations?
Patient: Uh yeah the only one that I haven't gotten is um that HPV vaccine.
Doctor: OK OK, um OK, any uh, did you get the flu shot?
Patient: Oh, I didn't get that this year.
Doctor: OK, well we recommend that you you get your vaccines and um also the uh HPV vaccine. Um it's it's best to get the HPV vaccine earlier on. It's a little bit less effective as you um go past a certain age, you are still obviously nowhere close to that, but it's,  I I don't believe it's covered after the age of 26 either, so it's best if you get it done earlier. And let's go back to your symptoms, then. Have you had any surgeries?
Patient: Uhm, I got my appendix removed when I was 13.
Doctor: Anything else?
Patient: No.
Doctor: OK, are you taking any medications including over the counter?
Patient: No, I just take my multivitamins.
Doctor: And uhm are you um are you currently living alone or do you live with someone?
Patient: I live with my parents and my two siblings.</x:t>
  </x:si>
  <x:si>
    <x:t xml:space="preserve">V006</x:t>
  </x:si>
  <x:si>
    <x:t xml:space="preserve">early</x:t>
  </x:si>
  <x:si>
    <x:t xml:space="preserve">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x:t>
  </x:si>
  <x:si>
    <x:t xml:space="preserve">Yeah.</x:t>
  </x:si>
  <x:si>
    <x:t xml:space="preserve">Can you describe what the rash looks like—are the spots flat or raised, what colour are they, and has it spread anywhere else or become itchy or painful?</x:t>
  </x:si>
  <x:si>
    <x:t xml:space="preserve">V007</x:t>
  </x:si>
  <x:si>
    <x:t xml:space="preserve">[...earlier consultation omitted...]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x:t>
  </x:si>
  <x:si>
    <x:t xml:space="preserve">But that was, I think, two years ago.</x:t>
  </x:si>
  <x:si>
    <x:t xml:space="preserve">OK. And what did they do for you then?</x:t>
  </x:si>
  <x:si>
    <x:t xml:space="preserve">Doctor: What brings you in?
Patient: Hi, yes I just came in today because I've been a bit concerned about some breathing difficulties over the last few days. It all started out with like a cough over the last week, but now I'm having trouble breathing as well.
Doctor: Oh OK, well I'm sorry to hear that. So you said a cough as well, so the cough at least a week back and the shortness of breath or difficulty breathing, when did that start?
Patient: So yeah, the cough, I usually have a cough. I've had COPD for a long time, but this past week the coughing has been much worse with a lot of more sputum and. Other than that, it started I would say two to three days ago. The cough got worse and then every time I'm moving around I like have to sit down and catch my breath, which is pretty abnormal for me.
Doctor: OK yeah, so alright. So let's focus on the cough first. You said it's a wet cough?
Patient: Yes, I am producing a lot of sputum.
Doctor: OK, what color is your sputum?
Patient: It's mainly like clear white.
Doctor: OK yeah so you don't see yellow pus or anything green or bloody in there?
Patient: No, I don't think so. But there's definitely like a lot more than what I usually produce.
Doctor: OK, umm this cough, does it sound harsh, barky or does it sound muffled?
Patient: I would say it's a bit harsh at times. I wouldn't say it's barky or muffled. I do find myself wheezing a little over the last few days as well.
Doctor: OK. Do you find you have any chest pain associated with the shortness of breath?
Patient: Oh no, I don't really have any pains.
Doctor: OK, and have you ever experienced anything like this before?
Patient: I did a couple of years ago, I had to be admitted because I had some shortness of breath.
Doctor: OK.
Patient: But that was, I think, two years ago.</x:t>
  </x:si>
  <x:si>
    <x:t xml:space="preserve">V008</x:t>
  </x:si>
  <x:si>
    <x:t xml:space="preserve">[...earlier consultation omitted...]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x:t>
  </x:si>
  <x:si>
    <x:t xml:space="preserve">Uh, it's like my whole belly's been like a little like sore or but it's it's pretty much like mild.</x:t>
  </x:si>
  <x:si>
    <x:t xml:space="preserve">I'm going to ask you about some other symptoms just to rule out some causes. Um, have you had any muscle aches or pains?</x:t>
  </x:si>
  <x:si>
    <x:t xml:space="preserve">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x:t>
  </x:si>
  <x:si>
    <x:t xml:space="preserve">V009</x:t>
  </x:si>
  <x:si>
    <x:t xml:space="preserve">[...earlier consultation omitted...]
Doctor: OK, so we'll we'll check it right now and. OK, so we're seeing that it's your temperature is elevated at 38.3 right now, so it does sound like you you have a fever. OK, and you mentioned that you had you have a cough?
Patient: Yeah, I do. It's it's a dry cough and it's awful. I've been hacking for the past two days.
Doctor: Oh no, that doesn't sound very nice. Has it been any blood or any sputum?
Patient: No blood and no definitely no sputum. OK.
Doctor: Anything that's like triggered the cough?
Patient: Um I don't, I don't think so. Um, No, I don't think so.</x:t>
  </x:si>
  <x:si>
    <x:t xml:space="preserve">Um I don't, I don't think so. Um, No, I don't think so.</x:t>
  </x:si>
  <x:si>
    <x:t xml:space="preserve">OK. And you mentioned that you're feeling tired.</x:t>
  </x:si>
  <x:si>
    <x:t xml:space="preserve">Doctor: I was wondering if you could start by telling me what brought you in.
Patient: Sure, you know I've been feeling a little hot for the past two days. I've had this awful cough and I just feel so tired.
Doctor: OK and, this started two days ago?
Patient: Ah yes, two days ago.
Doctor: OK. Yeah, you've been feeling hot, have you checked your temperature?
Patient: Um no, I haven't actually checked my temperature, I just kind of put my hand on my forehead and I just feel really, really hot.
Doctor: OK, so we'll we'll check it right now and. OK, so we're seeing that it's your temperature is elevated at 38.3 right now, so it does sound like you you have a fever. OK, and you mentioned that you had you have a cough?
Patient: Yeah, I do. It's it's a dry cough and it's awful. I've been hacking for the past two days.
Doctor: Oh no, that doesn't sound very nice. Has it been any blood or any sputum?
Patient: No blood and no definitely no sputum. OK.
Doctor: Anything that's like triggered the cough?
Patient: Um I don't, I don't think so. Um, No, I don't think so.</x:t>
  </x:si>
  <x:si>
    <x:t xml:space="preserve">V010</x:t>
  </x:si>
  <x:si>
    <x:t xml:space="preserve">[...earlier consultation omitted...]
Doctor: OK. And any exposures to anybody who's been sick?
Patient: No.
Doctor: Have you traveled anywhere recently?
Patient: Um nope.
Doctor: OK. Uh. And over the last couple of days with that with the leg pain, do you feel as though you've been like immobilized?
Patient: Yeah, I've been trying to just like stay rested, just stay seated otherwise it hurts a lot, especially after my fall so. I've tried to stay immobilized.</x:t>
  </x:si>
  <x:si>
    <x:t xml:space="preserve">Yeah, I've been trying to just like stay rested, just stay seated otherwise it hurts a lot, especially after my fall so. I've tried to stay immobilized.</x:t>
  </x:si>
  <x:si>
    <x:t xml:space="preserve">OK. Uhm. And. Do you smoke?</x:t>
  </x:si>
  <x:si>
    <x:t xml:space="preserve">Doctor: How may I help you?
Patient: So I've just been having this pain in my knee since I um just fell, uh, just three days ago slipping on the stairs. Since then I've been having a lot of pain.
Doctor: I see uh so did this pain start right after like falling on the stairs?
Patient: Yeah, yeah, I've been having the pain since then.
Doctor: OK.
Patient: And that was three days ago.
Doctor: Three days ago, OK. And you're feeling the pain in your in your right knee?
Patient: Yeah, in my right knee.
Doctor: OK, uh. And what would you say the character of the pain is, or how would you describe the pain?
Patient: It's kind of like a dull aching pain.
Doctor: OK. And has the pain been getting um, any better or any worse?
Patient: Uhm, it's kind of getting worse actually just in my right knee as well as my whole right calf as well.
Doctor: OK, OK. Uh. What is the intensity of the pain on a scale of 1 to 10, 10 being the worst pain you've ever felt?
Patient: Probably around 6.
Doctor: OK. Um. And. Did your knee hurt before this at all, or did you have any trauma to the leg before?
Patient: No, no before 3 days ago before my slip I was fine.
Doctor: OK, are you feeling the pain anywhere else besides your right knee?
Patient: In my calf I'm getting a lot of pain as well. In my right calf.
Doctor: OK, has there been anything that's made the pain worse?
Patient: Yeah, if I am If I'm walking or if I'm moving that leg and putting weight on it, it's definitely worse, so it's definitely like better if I just stay seated and stay resting.
Doctor: OK. Is there anything she said resting that helps, is there anything else that's helped?
Patient: I did take some Advil which did help for a few hours, but then it just kind of went back to the same.
Doctor: OK. Uhm. And. Yeah, have you had any other, uh, like associated symptoms with the right knee and calf pain?
Patient: Yes, I also think there's some swelling in my right calf as well. Since yesterday.
Doctor: OK. OK, there's some swelling there.
Patient: Mmm
Doctor: Have noticed if your calf was red or if there was a rash over it?
Patient: I don't see any rashes or redness, but it definitely does seem swollen and then it hurts as well when I move it or press it.
Doctor: OK, uh, OK, and when you fell did you injure any other parts of your body like your your hands or wrists?
Patient: Um just a few scratches on my hands, but nothing too bad.
Doctor: And how about your head? Did you lose consciousness or or hit your head?
Patient: No, no, I didn't hit my head at all. I caught myself before then and no, I didn't lose any consciousness.
Doctor: OK. OK, have you had any fevers or chills?
Patient: No.
Doctor: OK, have you had any chest pain?
Patient: No.
Doctor: Have you had any cough?
Patient: No cough.
Doctor: Have you have you had any shortness of breath?
Patient: No.
Doctor: OK, have you had any dizziness or or lightheadedness?
Patient: No.
Doctor: OK, and have you had any heart palpitations or feeling like your heart is racing?
Patient: No, nothing like that.
Doctor: OK, uh. And. Have you had any like infectious symptoms, such as like. Like a runny nose or sore throat?
Patient: No, nothing like that.
Doctor: OK. And have you had any nausea or vomiting.
Patient: No.
Doctor: Have you had any abdominal pain?
Patient: No.
Doctor: OK, have you had any changes to your bowel movements like diarrhea or or constipation?
Patient: No, nothing like that.
Doctor: Alright, so have you had any urinary problems?
Patient: Nope.
Doctor: Alright, so have you had any recent weight changes?
Patient: No, nothing like that.
Doctor: OK. Uhm, And. Um, have you have you noticed any any rashes anywhere else over your whole body?
Patient: No, not that I've noticed.
Doctor: Alright have you noticed any muscle weakness?
Patient: No.
Doctor: Have you had any numbness to the skin?
Patient: Not that I've noted, no.
Doctor: And have you had any tingling?
Patient: No. OK.
Doctor: And. Um. So in the past, have you been diagnosed with any medical conditions?
Patient: I do have some high cholesterol and high blood pressure.
Doctor: I see, and do you take any medications?
Patient: Yeah, so cholesterol. I'm taking a like a Crestor medication and then for high blood pressure I'm taking a Ramipril.
Doctor: OK. Have you had any hospitalizations or surgeries before?
Patient: Um. Just a. No, I I don't, um just besides a c-section for one of my children. I don't have any other surgeries.
Doctor: OK. I'm and. Have you had any thrombosis before, or a blood clot in the past?
Patient: No, I've never had anything like that.
Doctor: OK, and uh, have you been so you. You've had the birth of your you pregnant at other times in the past?
Patient: Um No, that was that was it.
Doctor: OK so have you had a miscarriage before?
Patient: No.
Doctor: OK, any allergies to medications?
Patient: No allergies.
Doctor: OK and. Uhm, could you tell me a little bit about your, uhm, living situation currently like who you're living with and whereabouts you're living?
Patient: Yeah, I live with my husband and our daughter. And it's just in a small townhouse, just in the city.
Doctor: OK, and are you working currently?
Patient: I I do work from home, I'm actually just an accounting clerk, but I most of my work is from home right now.
Doctor: OK. And any exposures to anybody who's been sick?
Patient: No.
Doctor: Have you traveled anywhere recently?
Patient: Um nope.
Doctor: OK. Uh. And over the last couple of days with that with the leg pain, do you feel as though you've been like immobilized?
Patient: Yeah, I've been trying to just like stay rested, just stay seated otherwise it hurts a lot, especially after my fall so. I've tried to stay immobilized.</x:t>
  </x:si>
  <x:si>
    <x:t xml:space="preserve">V011</x:t>
  </x:si>
  <x:si>
    <x:t xml:space="preserve">[...earlier consultation omitted...]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x:t>
  </x:si>
  <x:si>
    <x:t xml:space="preserve">I have migraines.</x:t>
  </x:si>
  <x:si>
    <x:t xml:space="preserve">OK, and do you take any medications for those migraines or anything else regularly?</x:t>
  </x:si>
  <x:si>
    <x:t xml:space="preserve">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x:t>
  </x:si>
  <x:si>
    <x:t xml:space="preserve">V012</x:t>
  </x:si>
  <x:si>
    <x:t xml:space="preserve">[...earlier consultation omitted...]
Doctor: OK, and have you had any changes to urinary patterns like pain frequency or incontinence?
Patient: No.
Doctor: OK. And have you had any skin changes like rashes or any changes to your nails or hair?
Patient: No.
Doctor: OK, and how about your energy, have you had a fatigue or malaise recently?
Patient: Uh no, nothing like that.</x:t>
  </x:si>
  <x:si>
    <x:t xml:space="preserve">Uh no, nothing like that.</x:t>
  </x:si>
  <x:si>
    <x:t xml:space="preserve">Alright, and any muscle aches or body pains or or any joint pains anywhere else?</x:t>
  </x:si>
  <x:si>
    <x:t xml:space="preserve">Doctor: How may I help you?
Patient: I'm I am here because I've had this intense pain in my right foot for the past six hours or so or so, and I thought it was important to come get it checked out by you guys.
Doctor: OK, so you say it started six hours ago has the pain been getting better or getting worse?
Patient: Uhm, it's been it's been the same since it started.
Doctor: OK, and was there any trauma to the foot or anything happen within the last day, or in the last six hours?
Patient: No, not no trauma.
Doctor: OK and, where is the pain located if you had to try to pinpoint it with one finger?
Patient: It's just below my big toe, kind of like on the medial side.
Doctor: OK. Do you feel the pain radiating anywhere else, or you just feeling it at that one spot?
Patient: I'm feeling it just in that one spot.
Doctor: OK. And how would you describe the pain?
Patient: It's intense, it's sharp.
Doctor: OK, and and has there been anything that you've tried that's made the pain better?
Patient: Um no I haven't really tried anything. I've I can't seem to move it so every time I move it, it hurts. I'm trying to keep it pretty still and stationary. I took an ibuprofen, that's not, that doesn't seem to help.
Doctor: OK. And so like any movement makes it it worse, is there anything else that makes it worse, like putting socks on or even having I don't know clothing touch it or your shoes touch it?
Patient: Yeah, I guess yeah, my shoes, my shoes touching it hurts.
Doctor: OK, and are you able to walk?
Patient: I'm able to walk on it, it's just very painful and I can't you know, I can't bend that toe. I can't flex it or extend it, but my other toes are OK.
Doctor: Alright, and how would you describe the severity of this pain. One being the least pain and 10 being the worst pain you've ever felt.
Patient: I say it's like an 8.
Doctor: OK, and have you ever had a pain like this before and in your toes or or any of your other joints?
Patient: No, never.
Doctor: OK. And have you had any neurological symptoms such as like numbness or tingling or sensory loss?
Patient: No.
Doctor: OK, how about any muscle weakness?
Patient: No, nothing like that.
Doctor: Alright, and have you had any any headaches?
Patient: No, no headaches.
Doctor: Have you had any memory loss or or or confusion?
Patient: No.
Doctor: OK. Have you had any fevers or chills?
Patient: No.
Doctor: Have you had any unexpected weight loss?
Patient: No.
Doctor: And have you had any any night sweats?
Patient: No.
Doctor: OK, and how about any sensory changes like changes to your vision, hearing, sense of smell or sense of taste?
Patient: No changes there.
Doctor: Alright and have you had a sore throat or runny nose?
Patient: No.
Doctor: And how about having a cough or shortness of breath?
Patient: No, nothing like that.
Doctor: OK, and have you had any chest pain?
Patient: No.
Doctor: And how about any heart palpitations or feeling like your heart is racing.
Patient: No.
Doctor: OK. And have you had any lightheadedness or dizziness?
Patient: No.
Doctor: OK. And how about any nausea or vomiting?
Patient: No.
Doctor: Alright, have any abdominal pain?
Patient: Nope.
Doctor: Any changes to your bowel habits like diarrhea or constipation?
Patient: No, I don't think so.
Doctor: OK, and have you had any changes to urinary patterns like pain frequency or incontinence?
Patient: No.
Doctor: OK. And have you had any skin changes like rashes or any changes to your nails or hair?
Patient: No.
Doctor: OK, and how about your energy, have you had a fatigue or malaise recently?
Patient: Uh no, nothing like that.</x:t>
  </x:si>
  <x:si>
    <x:t xml:space="preserve">V013</x:t>
  </x:si>
  <x:si>
    <x:t xml:space="preserve">[...earlier consultation omitted...]
Doctor: Shortness of breath?
Patient: No.
Doctor: No, OK. Wheeziness?
Patient: No.
Doctor: OK, any fevers?
Patient: And I have been feeling chilly over the last few days, just, I have been wearing like multiple layers having to put on an extra blanket so I might have been having a fever.</x:t>
  </x:si>
  <x:si>
    <x:t xml:space="preserve">And I have been feeling chilly over the last few days, just, I have been wearing like multiple layers having to put on an extra blanket so I might have been having a fever.</x:t>
  </x:si>
  <x:si>
    <x:t xml:space="preserve">Have you measured your temperature at home, and have you had any shaking chills or night sweats?</x:t>
  </x:si>
  <x:si>
    <x:t xml:space="preserve">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
Doctor: OK, and you have a runny nose or stuffy nose?
Patient: Uh, no.
Doctor: Sore throat?
Patient: No.
Doctor: Shortness of breath?
Patient: No.
Doctor: No, OK. Wheeziness?
Patient: No.
Doctor: OK, any fevers?
Patient: And I have been feeling chilly over the last few days, just, I have been wearing like multiple layers having to put on an extra blanket so I might have been having a fever.</x:t>
  </x:si>
  <x:si>
    <x:t xml:space="preserve">V014</x:t>
  </x:si>
  <x:si>
    <x:t xml:space="preserve">[...earlier consultation omitted...]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
Doctor: And is this, are your symptoms constant? Or do they come and go?
Patient: They're constant for the past two days. I've also noticed that I have, my breath just smells really bad. I don't know why.
Doctor: Is that something you noticed recently or in the last two days?
Patient: Yeah, since yesterday. Actually, not even yesterday, this morning I would say.</x:t>
  </x:si>
  <x:si>
    <x:t xml:space="preserve">Yeah, since yesterday. Actually, not even yesterday, this morning I would say.</x:t>
  </x:si>
  <x:si>
    <x:t xml:space="preserve">This morning, okay. Um, and is there anything that makes your symptoms worse? Like does lying down make your symptoms worse?</x:t>
  </x:si>
  <x:si>
    <x:t xml:space="preserve">Doctor: What brings you in here today?
Patient: I just started having, um, difficulty with breathing um, starting yesterday. And I also developed this cough um, yesterday morning.
Doctor: Okay, so did, did the cough come first or the breathing, difficulty breathing?
Patient: Kind of around the same time when I woke up in the morning.
Doctor: And did it wake you up from sleep at all? Like did you wake up trying to catch a breath or anything?
Patient: No.
Doctor: Okay, so it happened after you had woken up and gotten out of bed. And um, so, can you describe your cough a little bit? Is it wet or is it dry?
Patient: Um, it's just um, it's just a dry cough.
Doctor: Okay, you're not bringing up any sputum or any other material?
Patient: No.
Doctor: And uh, are you coughing up any blood by any chance?
Patient: No.
Doctor: For the shortness of breath, can you describe it a little bit? Is it, are you having trouble taking deep breaths, or are you breathing faster? Can you describe it?
Patient: Yeah, I just feel like um, I'm getting out of breath really easily, just like um, walking even, walking to the kitchen from my bedroom, I'm getting short of breath and it, it just started yesterday morning, it's so odd.
Doctor: Okay, and have you had anything like this happen before to you?
Patient: No.
Doctor: No. Were you doing anything before it started? Like were you doing any, any activities or any, are were you doing any exertions at all?
Patient: No, I was just uh, I, I slept in, I slept in a bit more than usual, um, and I was feeling quite um, drowsy. My, my doc increased my pain meds and I took the first dose um, yesterday night, um, I actually took an extra pill um, um, of the morphine um, and yeah, I don't know, maybe it, it's an allergic reaction to the morphine.
Doctor: Have you had any allergic reactions before?
Patient: No.
Doctor: And so you took an extra morphine last night and then went to sleep. Um, did you wake up coughing or catching your breath or anything like that?
Patient: No, I actually, I ended up waking up at 1:00 PM or 2:00 PM, I was just very drowsy and uh, I think I, I think I might have taken a bit too much, I don't know. The, the arthritis pain was just killing me last night and I thought taking an extra pill would help.
Doctor: And is this, are your symptoms constant? Or do they come and go?
Patient: They're constant for the past two days. I've also noticed that I have, my breath just smells really bad. I don't know why.
Doctor: Is that something you noticed recently or in the last two days?
Patient: Yeah, since yesterday. Actually, not even yesterday, this morning I would say.</x:t>
  </x:si>
  <x:si>
    <x:t xml:space="preserve">V015</x:t>
  </x:si>
  <x:si>
    <x:t xml:space="preserve">[...earlier consultation omitted...]
Doctor: OK, and how about any changes to urinary habits like painful urination or the color of your urine?
Patient: No no, no changes.
Doctor: OK, and have you had any changes to bowel patterns such as diarrhea or changes in color of your stool?
Patient: No, I don't think so. No changes that I've noticed.
Doctor: OK, so  notice any blood in the stool?
Patient: No, no blood.</x:t>
  </x:si>
  <x:si>
    <x:t xml:space="preserve">No, no blood.</x:t>
  </x:si>
  <x:si>
    <x:t xml:space="preserve">OK, and how has your appetite been?</x:t>
  </x:si>
  <x:si>
    <x:t xml:space="preserve">Doctor: I was wondering if you could tell me a little bit about what brought you in to the Emergency Department today?
Patient: Yeah, so nice to meet you. I've been having this pain right in my abdomen. It's kind of like in the upper right area.
Doctor: OK, and so uh, when, where is this painting located exactly?
Patient: So it's just in the upper right corner of my abdomen, right below where the lungs are, and it, yeah, it's just I have this severe pain that's going on.
Doctor: OK, and how long is it been going on for?
Patient: So it's been going on for the last few days and it got worse today.
Doctor: OK, and how long is it been since it's like got got worse, has this been a few hours or or how long is that been?
Patient: So I would say it got worse, just three or four hours ago before I came to the Emergency Department.
Doctor: OK, and does the pain radiate anywhere?
Patient: Uh no, it stays right in the in the spot that I told you right in the right upper corner.
Doctor: OK, and when did the pain start? Or if you could tell me what were you doing right prior to the pain starting?
Patient: So I think it started after just three days ago after I had a meal like I I think it was after lunch around half an hour or an hour after lunch.
Doctor: I see OK, has the pain gotten worse, stayed the same, or gotten better since since yesterday?
Patient: I think it's gotten, it was, it's the worst today, like especially like a few hours ago like 3 hours ago, it was much worse than the other two days.
Doctor: OK, and how would you describe the character or the quality of the pain?
Patient: So it's like a sharp, I would describe it as like a sharp pain.
Doctor: OK, and on a scale of 1 to 10, 10 being the most severe pain, what would you rate it as?
Patient: I would rate it as, right now I would rate it as an 8.
Doctor: OK, and has anything like this happened to you before?
Patient: I think it happened to me a few years back, where I had this pain and then it just kind of went away on its own. I didn't go to the Emergency Department then though.
Doctor: OK, and has there been anything that you've tried to make this pain any better?
Patient: I tried taking just like Advil and Tylenol, but it didn't really seem to help the pain too much.
Doctor: OK, and have you had any other associated symptoms such as nausea or or vomiting?
Patient: I've I've had some nausea over the past few days, but I haven't vomited anything.
Doctor: OK, so no blood in your emesis uh or no vomiting at all?
Patient: Uh, yeah.
Doctor: OK, and have you traveled anywhere recently?
Patient: Uh no like we haven't traveled anywhere recently.
Doctor: OK, and, how has your energy levels been?
Patient: Uh, energy uh when it's hurting a lot like today I've been it's been difficult to move around, I've been pretty drained from the pain but uh otherwise over the last few days it hasn't affected me too much, but today I would say my energy levels are down.
Doctor: OK, and have you noticed any skin changes or any rashes?
Patient: I don't think so. I mean, I don't think I've noticed any kind of skin changes.
Doctor: OK, and how about any changes to urinary habits like painful urination or the color of your urine?
Patient: No no, no changes.
Doctor: OK, and have you had any changes to bowel patterns such as diarrhea or changes in color of your stool?
Patient: No, I don't think so. No changes that I've noticed.
Doctor: OK, so  notice any blood in the stool?
Patient: No, no blood.</x:t>
  </x:si>
  <x:si>
    <x:t xml:space="preserve">V016</x:t>
  </x:si>
  <x:si>
    <x:t xml:space="preserve">[...earlier consultation omitted...]
Doctor: OK. And do you drink alcohol?
Patient: I do.
Doctor: OK. How much alcohol do you drink each week?
Patient: Uhm about I would say I have like one or two drinks a day, so about 10 drinks a week.
Doctor: OK, uh, yeah and um alright, and then briefly, could you tell me a little bit about your like diet and exercise?
Patient: Sure, I try to eat healthy for dinner at least, but most of my lunches are, uh I eat out. And then in terms of exercise, I try to exercise every other day, I run for about half an hour.</x:t>
  </x:si>
  <x:si>
    <x:t xml:space="preserve">Sure, I try to eat healthy for dinner at least, but most of my lunches are, uh I eat out. And then in terms of exercise, I try to exercise every other day, I run for about half an hour.</x:t>
  </x:si>
  <x:si>
    <x:t xml:space="preserve">Doctor: Thank you. Given your severe chest pain, shortness of breath, lightheadedness, and neck swelling, I’m concerned about a potentially serious problem. I’d like to check your vital signs and examine your heart, lungs, chest, and neck right away, then obtain an ECG and urgent chest imaging. Are you comfortable proceeding?</x:t>
  </x:si>
  <x:si>
    <x:t xml:space="preserve">Doctor: What brought you in today?
Patient: Sure, I'm I'm just having a lot of chest pain and and so I thought I should get it checked out.
Doctor: OK, before we start, could you remind me of your gender and age?
Patient: Sure 39, I'm a male.
Doctor: OK, and so when did this chest pain start?
Patient: It started last night, but it's becoming sharper.
Doctor: OK, and where is this pain located?
Patient: It's located on the left side of my chest.
Doctor: OK, and, so how long has it been going on for then if it started last night?
Patient: So I guess it would be a couple of hours now, maybe like 8.
Doctor: OK. Has it been constant throughout that time, or uh, or changing?
Patient: I would say it's been pretty constant, yeah.
Doctor: OK, and how would you describe the pain? People will use words sometimes like sharp, burning, achy.
Patient: I'd say it's pretty sharp, yeah.
Doctor: Sharp OK. Uh, anything that you have done tried since last night that's made the pain better?
Patient: Um not laying down helps.
Doctor: OK, so do you find laying down makes the pain worse?
Patient: Yes, definitely.
Doctor: OK, do you find that the pain is radiating anywhere?
Patient: No.
Doctor: OK, and is there anything else that makes the pain worse besides laying down?
Patient: Not that I've noticed, no.
Doctor: OK, so not like taking a deep breath or anything like that?
Patient: Maybe taking a deep breath. Yeah.
Doctor: OK. And when the pain started, could you tell me uh, could you think of anything that you were doing at the time?
Patient: I mean, I was moving some furniture around, but, that I've done that before.
Doctor: OK, so you didn't feel like you hurt yourself when you were doing that?
Patient: No.
Doctor: OK, and in regards to how severe the pain is on a scale of 1 to 10, 10 being the worst pain you've ever felt, how severe would you say the pain is?
Patient: I'd say it's like a seven or eight. It's pretty bad.
Doctor: OK, and with the pain, do you have any other associated symptoms?
Patient: I feel a little lightheaded and I'm having some trouble breathing.
Doctor: OK. Have you had any loss of consciousness?
Patient: No.
Doctor: OK. Uh, have you been experiencing any like racing of the heart?
Patient: Um, a little bit, yeah.
Doctor: OK. And have you been sweaty at all?
Patient: Just from the from having issues breathing.
Doctor: OK, have you been having issues breathing since the pain started?
Patient: Yes.
Doctor: OK. Um recently have you had any periods of time where you like have been immobilized or or, you haven't been like able to move around a lot?
Patient: No no.
Doctor: OK. And have you been feeling sick at all? Any infectious symptoms?
Patient: No.
Doctor: OK, have you had any nausea or vomiting?
Patient: No.
Doctor: Any fevers or chills?
Patient: No.
Doctor: OK, how about any abdominal pain?
Patient: No.
Doctor: Any urinary problems?
Patient: No.
Doctor: Or bowel problems?
Patient: No.
Doctor: OK, have you had a cough?
Patient: No.
Doctor: OK. You haven't brought up any blood?
Patient: No.
Doctor: OK, have you had a wheeze with your difficulty breathing?
Patient: No, not that I've heard.
Doctor: OK, any changes to the breath sounds at all like any noisy breathing?
Patient: No. Well, I guess if when I'm really having trouble breathing, yeah.
Doctor: OK. Has anything like this ever happened to you before?
Patient: No.
Doctor: No, OK. And have you had any night sweats?
Patient: No.
Doctor: Alright, and then how about any rashes or skin changes?
Patient: No rashes, but I guess like my neck seems to be a little swollen.
Doctor: OK, do you have any neck pain?
Patient: No.
Doctor: OK, have you had any like accidents like a car accident or anything where you really jerked your neck?
Patient: No.
Doctor: OK. Um any any trauma at all to the chest or or back?
Patient: No.
Doctor: OK, so just in regards to past medical history, do you have any prior medical conditions?
Patient: No.
Doctor: OK, any recent hospitalizations?
Patient: No.
Doctor: OK, any prior surgeries?
Patient: No.
Doctor: OK, do you take any medications regularly? Are they prescribed or over the counter?
Patient: No.
Doctor: Alright, how about any allergies to medications?
Patient: None.
Doctor: Alright, any immunizations or are they up to date?
Patient: They are all up to date.
Doctor: Excellent. Alright, and could you tell me a little bit about your living situation currently?
Patient: Sure, I live in an apartment by myself. I, uh, yep, that's about it.
Doctor: OK, and how do you support yourself financially?
Patient: I'm an accountant.
Doctor: OK, sounds like a pretty stressful job or that it can be. Do you smoke cigarettes?
Patient: I do.
Doctor: OK, and how much do you smoke?
Patient: I smoke about a pack a day.
Doctor: OK, how long have you been smoking for?
Patient: For the past 10 to 15 years.
Doctor: OK, and do you smoke cannabis?
Patient: Uh sometimes.
Doctor: Uh, how much marijuana would you smoke per per week?
Patient: Per week, maybe about 5 milligrams. Not that much.
Doctor: OK, and do you use any other recreational drugs like cocaine, crystal, meth, opioids?
Patient: No.
Doctor: OK. Have you used IV drugs before?
Patient: No.
Doctor: OK. And do you drink alcohol?
Patient: I do.
Doctor: OK. How much alcohol do you drink each week?
Patient: Uhm about I would say I have like one or two drinks a day, so about 10 drinks a week.
Doctor: OK, uh, yeah and um alright, and then briefly, could you tell me a little bit about your like diet and exercise?
Patient: Sure, I try to eat healthy for dinner at least, but most of my lunches are, uh I eat out. And then in terms of exercise, I try to exercise every other day, I run for about half an hour.</x:t>
  </x:si>
  <x:si>
    <x:t xml:space="preserve">V017</x:t>
  </x:si>
  <x:si>
    <x:t xml:space="preserve">[...earlier consultation omitted...]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x:t>
  </x:si>
  <x:si>
    <x:t xml:space="preserve">It kind of comes and goes.</x:t>
  </x:si>
  <x:si>
    <x:t xml:space="preserve">OK, and when it comes and goes, would you say it's associated with eating or drinking anything?</x:t>
  </x:si>
  <x:si>
    <x:t xml:space="preserve">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x:t>
  </x:si>
  <x:si>
    <x:t xml:space="preserve">V018</x:t>
  </x:si>
  <x:si>
    <x:t xml:space="preserve">[...earlier consultation omitted...]
Doctor: Any confusion?
Patient: No.
Doctor: Um any, um, runny nose or stuffy nose or sinus congestion?
Patient: Uh no, not really.
Doctor: Okay, any sore throat?
Patient: Uh no.</x:t>
  </x:si>
  <x:si>
    <x:t xml:space="preserve">Uh no.</x:t>
  </x:si>
  <x:si>
    <x:t xml:space="preserve">Any fevers?</x:t>
  </x:si>
  <x:si>
    <x:t xml:space="preserve">Doctor: Um, what brings you in today?
Patient: Uh yeah, hi, I just came in here today cause uh, lately, for the last couple of months, I've been getting these coughing fits. They don't really seem to be going away and I was a bit concerned.
Doctor: So you've had this, when did this start?
Patient: Uh, I would say probably during the winter uh it, it kind of started, where I started having um, just coughing fits when I'm walking to school and then also during like gym class I started having these coughing fits and sometimes I also felt like I couldn't breathe.
Doctor: Um, okay. Okay, what did you, is there anything, so it's basically worse when you're um, doing some sort of an exercise such as walking um, or being in the gym class, and it's also worse in the cold?
Patient: Yeah. Yeah, and then also like, I remember when I was walking down the street and someone was smoking and then I just completely just started having that episode right after I walked past them.
Doctor: Okay um, alright. Uh um okay, sorry, one moment. Okay um, so is there anything that makes your cough better? What do you do to make it go away?
Patient: Uh, I just basically have to, if I, if I'm doing any kind of activities, just take a moment, sit down for like 10 to 15 minutes and then it seems like it goes away on its own.
Doctor: And you said that sometimes you also have difficulties breathing with it?
Patient: Yeah, like a couple of times it got really bad where I had to um like, it was difficult get, it was, it was like I was trying to take deep breaths for air, but uh it was, it just felt like I couldn't.
Doctor: I see. So this started a couple of months ago, has this ever happened to you before that?
Patient: No, before that I've been fine.
Doctor: Okay, and so I'm going to ask you about a couple other symptoms. Let me know if you've experienced any of these in the past couple of months. Um, so have you had a headache that accompanies the cough?
Patient: Uh no.
Doctor: Um, any changes in your vision or your hearing?
Patient: No.
Doctor: Any confusion?
Patient: No.
Doctor: Um any, um, runny nose or stuffy nose or sinus congestion?
Patient: Uh no, not really.
Doctor: Okay, any sore throat?
Patient: Uh no.</x:t>
  </x:si>
  <x:si>
    <x:t xml:space="preserve">V019</x:t>
  </x:si>
  <x:si>
    <x:t xml:space="preserve">[...earlier consultation omitted...]
Doctor: OK. Any, does he have any allergies?
Patient: Um. No, no, I don't think so. I mean like he hasn't really taken a lot of medicine, so it's hard to say, but like nothing.
Doctor: Is he up to date with all his immunizations?
Patient: Yeah.
Doctor: Yeah OK. And. In terms of family history, are there any lung conditions or heart conditions?
Patient: Uh no everyone is really healthy.</x:t>
  </x:si>
  <x:si>
    <x:t xml:space="preserve">Uh no everyone is really healthy.</x:t>
  </x:si>
  <x:si>
    <x:t xml:space="preserve">Doctor: Okay. Has anyone at home or school been sick recently or tested positive for COVID, flu, or RSV, and has he had a COVID test yet?</x:t>
  </x:si>
  <x:si>
    <x:t xml:space="preserve">Doctor: What brings you all in today?
Patient: Hi. So I just brought in my son he's 5. Essentially, when he, so today is Friday when he got home from school on Wednesday, he seemed fine, but he I don’t know that night he started to have a bit of like a cough. It just seemed like a little dry cough, but obviously I just wanted to keep him home, keep him safe and not like spread anything if he was sick. So he stayed at home on Thursday and he was like having a bit of a cough. Then yesterday it seemed to get a little bit worse and he was really tired, uh sorry. Today, today is Friday. He was like his cough is like getting a bit worse and I've been taking his temp the whole time and it got like a little high today, what was it? My thermometer says it was high. I'm just like trying to remember it was it was. It was like over 100 though.
Doctor: Oh OK.
Patient: Uh, 101 or something or maybe 100.1 if. But anyways it was so I I just thought I should probably bring him in 'cause I was really worried about him and you know so he could have maybe got covid and like at school or something.
Doctor: Yeah for sure. Um OK, so just to clarify, he's had this cough and fever for the past five five days.
Patient: Mhm.
Doctor: OK, OK so let's focus on the cough.
Patient: It’s Friday. Its been more like like 3 days.  Wednesday is when he came home, and then um he. And then today is Friday. So yeah, sorry.
Doctor: Today is Friday OK. And um. OK, yeah sure uh so. Is this cough a productive cough, or is it kind of a dry cough?
Patient: Uh I think it's dry. I haven't noticed him like spitting up anything. Yeah he yeah, its just like little cough.
Doctor: OK, And. He is he. He's not bringing up any sputum or blood?
Patient: No.
Doctor: No OK good. OK, and does he sound wheezy at all to you?
Patient: No, no, not that I've noticed.
Doctor: OK, how about short of breath?
Patient: Um I don't think so like he usually he's a really active kid and he has. He hasn't been running a lot outside in the past couple of days, so maybe he maybe he could have been having a harder time breathing. But also I think he's just been tired in general.
Doctor: OK, yeah. OK, Uhm. Is his coughing getting worse with certain times of the day? Like is it worse at night, in the morning?
Patient: Mm I think it kinda just there the whole day.
Doctor: OK, and it does it, how does it sound? Does this sound like a barky cough? Does it sound? Uhm? Like harsh, what is what would you say the quality of it, of the sound of the cough is?
Patient: Uh, I, just sounds kind of dry. It's not like super loud.
Doctor: OK. OK, and has he ever experienced anything like this in the past?
Patient: Um like he's had colds before, but I haven't like. I haven't like you this time he kind of had the fever, which is different than you know, having a regular cold.
Doctor: OK. And are his symptoms getting worse?
Patient: I think so 'cause yeah, the first day he just seemed like a little dry and then yesterday is coughing and today he actually has a fever.
Doctor: OK, and is he complaining of anything like chest pain? Or feeling like his heart's racing?
Patient: No, I don't think so.
Doctor: No, OK. Does he have a sore throat?
Patient: Mm I don't think so.
Doctor: OK, and is he having any issues swallowing food or fluids?
Patient: I don't know if he's having trouble swallowing, but he doesn't seem to have a big appetite right now.
Doctor: OK, and is he, does he have a blocked nose or runny nose?
Patient: Maybe a bit of like a look at runny nose.
Doctor: OK, and does he have any issues with smell or taste?
Patient: He, this morning he really seemed like he wasn't like into his breakfast and I wonder if he's losing his sense of taste a little bit.
Doctor: OK, how about vision or hearing?
Patient: I think those are fine.
Doctor: OK, and is he complaining of any chills or night sweats?
Patient: No.
Doctor: OK, any changes in his hair, nails or skin like rashes?
Patient: No, I haven't noticed anything like that.
Doctor: Any changes in his bowel movements. Pardon?
Patient: Um sorry no changes.
Doctor: OK, no diarrhea, no constipation, no blood in the stool?
Patient: No
Doctor: OK, any nausea or vomiting?
Patient: No.
Doctor: OK, any changes in his urine?
Patient: I haven’t really been looking, but I don't think so.
Doctor: Any dizziness or fainting spells?
Patient: No, just like fatigue.
Doctor: OK, any confusion or memory loss?
Patient: No.
Doctor: And is he and is he an otherwise healthy child?
Patient: Yeah, actually he hasn't decided to like a vaccine that he hasn't had to go to the doctor like ever like. I mean, he broke his arm once, but that was it.
Doctor: OK, um so no past illnesses and I guess no hospitalizations or surgeries except for the broken arm.
Patient: Exactly, like nothing.
Doctor: OK, and were things normal with your pregnancy with him?
Patient: Yeah totally.
Doctor: OK um. And then how about as a newborn, any complications after birth?
Patient: No, no, like everything is things really good.
Doctor: OK, and then did he hit all his milestones up till now?
Patient: Yeah totally.
Doctor: OK. Any, does he have any allergies?
Patient: Um. No, no, I don't think so. I mean like he hasn't really taken a lot of medicine, so it's hard to say, but like nothing.
Doctor: Is he up to date with all his immunizations?
Patient: Yeah.
Doctor: Yeah OK. And. In terms of family history, are there any lung conditions or heart conditions?
Patient: Uh no everyone is really healthy.</x:t>
  </x:si>
  <x:si>
    <x:t xml:space="preserve">V020</x:t>
  </x:si>
  <x:si>
    <x:t xml:space="preserve">[...earlier consultation omitted...]
Doctor: Or any any neck swelling?
Patient: No.
Doctor: Alright, um so it sounds like over the past uh week you've been having this dry cough uh as well as some nasal discharge and some congestion with um a little bit of a scratchy throat. Um any other symptoms?
Patient: Uh no, that's pretty much it.
Doctor: I see, alright, and in the past have you been diagnosed with any medical conditions?
Patient: Uh no, I've been pretty healthy.</x:t>
  </x:si>
  <x:si>
    <x:t xml:space="preserve">Uh no, I've been pretty healthy.</x:t>
  </x:si>
  <x:si>
    <x:t xml:space="preserve">I'm going to order a chest x-ray.</x:t>
  </x:si>
  <x:si>
    <x:t xml:space="preserve">Doctor: How may I help you?
Patient: Hi yes I'm just coming in, uh over the last week, I've been having um like a cough, runny nose and a lot of congestion as well. So I just wanted to come in here to make sure nothing's wrong.
Doctor: I see, alright, and when did the uh cough start? Was it 7 days ago?
Patient: A bit less than that, I would say it's been probably like five or six days.
Doctor: OK, um and has the cough been getting any better or any worse or staying the same?
Patient: Um it's kind of the same.
Doctor: OK, and are you bringing up any uh sputum with the cough?
Patient: No, it's mainly like a dry cough, but I am getting like a lot of drainage and uh just congestion in my nose.
Doctor: OK, so you're, you are, are you feeling um like mucus drain from your nose like into the back of your uh mouth?
Patient: Uh yeah, sometimes I feel like that over the last week.
Doctor: OK. And you you haven't caught up any any sputum, but have you brought up any any blood?
Patient: Uh no, no blood.
Doctor: OK, have you had any wheezing?
Patient: No, no wheezing.
Doctor: OK, and how about um any chest pain?
Patient: Um no chest pain.
Doctor: OK, and you've had a, and did you, have you had a cough before or is this a new cough?
Patient: Um no, this is like fairly new.
Doctor: OK. And um could you, is your nose uh like, could you describe the discharge from your nose?
Patient: Yeah, it's more like kind of a clear to maybe whitish discharge.
Doctor: And these symptoms start about a week ago as well or about five days ago?
Patient: Um yeah, around the same time.
Doctor: I see, OK. And have you had any uh like facial pain like over your over your cheeks or or forehead?
Patient: Uh no, nothing like that.
Doctor: OK, and have you felt like your nose um is obstructed, like you're not able to breathe in through either one of your nostrils?
Patient: Yeah, that happens and sometimes the nostrils keep switching.
Doctor: OK, and have you had a loss or a change in your sense of smell?
Patient: Um just when I'm congested like I feel like I can't really smell.
Doctor: I see, alright. Have you had a loss or a change in your sense of taste?
Patient: No.
Doctor: OK. Um and have you had any shortness of breath with the cough?
Patient: Uh no.
Doctor: OK, um and have you had any eye redness or um eye discharge?
Patient: No, I don't think so.
Doctor: Alright, and how about a sore throat?
Patient: Uhm, maybe a little bit of a tickle in my throat, but not sore.
Doctor: I see, OK, so have you had any pain with swallowing food or liquids?
Patient: No.
Doctor: OK, and um have you had any headaches?
Patient: No.
Doctor: Any fevers or chills?
Patient: No, nothing like that.
Doctor: Any uh night sweats?
Patient: No.
Doctor: And how was your weight been recently? Any changes?
Patient: No, no changes.
Doctor: OK, um and have you had any nausea or vomiting?
Patient: Uhm no, nothing like that.
Doctor: Have you had any diarrhea?
Patient: Uh no, no diarrhea.
Doctor: OK, and have you had any urinary problems like painful urination or or frequency?
Patient: Nope.
Doctor: OK, and then any skin changes or or rashes?
Patient: Uh nope, nothing like that.
Doctor: Alright, any muscle aches or body pains?
Patient: Uhm no, nothing like that.
Doctor: Alright, and how has your energy been over this past week? Have you had fatigue?
Patient: Uh no, I've been, I haven't been tired or like, it's just been like these symptoms that don't seem to go away.
Doctor: I see, OK. Um and uh, have you had any changes to your um to your voice?
Patient: No.
Doctor: Or any any neck swelling?
Patient: No.
Doctor: Alright, um so it sounds like over the past uh week you've been having this dry cough uh as well as some nasal discharge and some congestion with um a little bit of a scratchy throat. Um any other symptoms?
Patient: Uh no, that's pretty much it.
Doctor: I see, alright, and in the past have you been diagnosed with any medical conditions?
Patient: Uh no, I've been pretty healthy.</x:t>
  </x:si>
  <x:si>
    <x:t xml:space="preserve">V021</x:t>
  </x:si>
  <x:si>
    <x:t xml:space="preserve">[...earlier consultation omitted...]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x:t>
  </x:si>
  <x:si>
    <x:t xml:space="preserve">No, not that I know of. I live by myself in my apartment. I've been working from home. I work as a programmer and so I only go outside for runs and stuff for groceries, so I haven't really seen anyone sick around me.</x:t>
  </x:si>
  <x:si>
    <x:t xml:space="preserve">Yeah, and have you traveled anywhere recently?</x:t>
  </x:si>
  <x:si>
    <x:t xml:space="preserve">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x:t>
  </x:si>
  <x:si>
    <x:t xml:space="preserve">V022</x:t>
  </x:si>
  <x:si>
    <x:t xml:space="preserve">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x:t>
  </x:si>
  <x:si>
    <x:t xml:space="preserve">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x:t>
  </x:si>
  <x:si>
    <x:t xml:space="preserve">Doctor: OK, so it sounds like you're having some trouble with exercise.</x:t>
  </x:si>
  <x:si>
    <x:t xml:space="preserve">V023</x:t>
  </x:si>
  <x:si>
    <x:t xml:space="preserve">[...earlier consultation omitted...]
Doctor: And do you you mentioned that your grandkids have came to visit. Do you live alone?
Patient: Uh no. I live with my wife.
Doctor: And are you currently working or are you staying at home?
Patient: Uh, I'm working from home. I I, I've gone out a few times to see clients. I work as a financial advisor. I've gone to see a couple clients that are really old and have a hard time doing stuff over the phone or over the computer, but I'm like 95% from home.
Doctor: Have you gone to see any clients in the past three or four days or in the past week?
Patient: No, no, it's probably been a couple weeks since I saw anyone .</x:t>
  </x:si>
  <x:si>
    <x:t xml:space="preserve">No, no, it's probably been a couple weeks since I saw anyone .</x:t>
  </x:si>
  <x:si>
    <x:t xml:space="preserve">Sure OK. And do you smoke? Or did you ever smoke at the past?</x:t>
  </x:si>
  <x:si>
    <x:t xml:space="preserve">Doctor: What brings you in today?
Patient: Hey, so I just for the last couple days I've just been feeling really short of breath really rundown. Just like super tired and you know, normally really active and I'm just, I'm just having a rough go.
Doctor: Is there is the shortness of breath knew for you?
Patient: Yeah yeah, it's just like just like I can't. I don't know like I can't catch up. I kind of just feel I feel a bit weak like I've just been feeling really tired and then because of that I haven't really been eating a lot so. Yeah, I don't know.
Doctor: So. You've just been feeling very tired, can you I guess, like tell me a little bit more about your difficulty with breathing. When does it happen?
Patient: I think just like overall, I'm finding it like it's hard to hard to get like super deep breaths it's not like I I can't. I don't get the feeling that I can't breathe. It's just that everything's a little bit more like laborious.
Doctor: OK. And you said that it started a few days ago. Have you had any other symptoms other than the difficulty breathing and the fatigue?
Patient: I mean. I felt I think I felt really hot yesterday. I don't know the thermometer, but I had my wife put her put her hand on my forehead and she got a I felt pretty warm. And come to think of it, I this morning I, I really I didn't eat much because I just haven't been that hungry, but I don't really feel like I couldn't really taste my breakfast.
Doctor: Has that ever happened to you before?
Patient: No never I like, I like my food.
Doctor: Me too, um OK, what about your sense of smell? Do you feel like you're not you are not able to smell well either?
Patient: I haven't thought about it too hard, but yeah, kind of.
Doctor: OK. And have you had a cough?
Patient: Uh I don't know I. I feel like I maybe could be starting starting one.
Doctor: Sure.
Patient: Like it's when it feels dry like it's on its way. Haven't really been coughing much.
Doctor: I see, what about a sore throat?
Patient: I’m starting to feel a little bit like that. Like I don't know if I'm imagining it, but yeah, I I think so.
Doctor: I see OK. Have you had a runny nose or any congestion?
Patient: No.
Doctor: Any headaches?
Patient: Uh. Good question, I I kind of I get I get headaches fairly often I don't think I'm getting any more than usual, but I have had a little bit.
Doctor: OK. Is the headache that you've had different in quality from the headaches that you usually get?
Patient: I mean, I don't know, I don't know. I usually get kind of difficult stress headache, you know?
Doctor: Yeah yeah.
Patient: Pretty well. I am stressed, just that I you know, might be sick.
Doctor: And have you had any changes in your vision or hearing?
Patient: No.
Doctor: In the past three four days, no OK. Any nausea or vomiting?
Patient: No, no, I haven't.
Doctor: Have you had any chest pain?
Patient: Uh, like it's. No, yeah no. No chest pain.
Doctor: Any do you feel like your heart's beating really fast?
Patient: No, I wouldn't say so.
Doctor: OK, have you had any pain in your belly?
Patient: No. Cause I I meant I haven’t really been eating but yeah.
Doctor: OK, any urinary symptoms?
Patient: No, I don't think so.
Doctor: OK. And you mentioned you have muscle aches, is it, so all over your body or is it a specific part, specific area?
Patient: I would just say I feel kind of overall achy.
Doctor: OK,
Patient: Um not any one spot.
Doctor: Any numbness or tingling in your arms or legs?
Patient: Uh, no.
Doctor: OK. All right, have you had any exposure to anyone who could potentially be sick?
Patient: Well. My grandkids, uh, visited last weekend and my grandson has a cold. He goes to daycare. Yeah, so I'm not really. I'm not really sure like he's been staying home and they didn't. They didn't really know that when they came to visit.
Doctor: OK, that's yeah, uhm OK. And have you traveled anywhere outside the province?
Patient: No no.
Doctor: OK alright. Do you have any medical conditions that you've been diagnosed with?
Patient: Uhm? I'm pretty, I'm pretty healthy. I have some um like reflux that I see my doctor for. And I've had I've had some difficulties like with like urinating a little bit. Yeah, my my prostate's a little big like it's not cancer but. So just those two things that aren't that aren't there that really big deal they don't affect my life too much.
Doctor: Are you taking any medications for either problem?
Patient: I take avodart.
Doctor: OK.
Patient: And for the the reflux I take a tums here and there I used to be on a medication, but it seemed like I kind of figured out the foods that were going to help, so I stopped.
Doctor: Great, that's great. Any allergies to medications, foods, or environmental allergies?
Patient: Uh no, no
Doctor: No, and any medical conditions that run in the family? Specifically, anything related to the lungs?
Patient: No, not that I can think of.
Doctor: And do you you mentioned that your grandkids have came to visit. Do you live alone?
Patient: Uh no. I live with my wife.
Doctor: And are you currently working or are you staying at home?
Patient: Uh, I'm working from home. I I, I've gone out a few times to see clients. I work as a financial advisor. I've gone to see a couple clients that are really old and have a hard time doing stuff over the phone or over the computer, but I'm like 95% from home.
Doctor: Have you gone to see any clients in the past three or four days or in the past week?
Patient: No, no, it's probably been a couple weeks since I saw anyone .</x:t>
  </x:si>
  <x:si>
    <x:t xml:space="preserve">V024</x:t>
  </x:si>
  <x:si>
    <x:t xml:space="preserve">[...earlier consultation omitted...]
Doctor: Okay. And on a scale of uh, 1 to 10, sorry 0 to 10, with 10 being the worst pain you've felt in your life, how much would you rate this pain?
Patient: Uh, it's a 9.
Doctor: A 9, okay. Um, so it just started a few hours ago. Is there anything that makes the pain better or worse?
Patient: Um, I mean just trying to stay as still as possible is all I've been been doing so far, uh because, um, like any type of movement is really bad.
Doctor: Okay, and are you able to weight bear, are you able to stand and walk by yourself?
Patient: Uh, I, I was pretty much like hopping on one leg to, to get in here and as soon as I could, I got in a wheelchair, just because it uh, hurts so bad.</x:t>
  </x:si>
  <x:si>
    <x:t xml:space="preserve">Uh, I, I was pretty much like hopping on one leg to, to get in here and as soon as I could, I got in a wheelchair, just because it uh, hurts so bad.</x:t>
  </x:si>
  <x:si>
    <x:t xml:space="preserve">Doctor: Okay. Um, is there anything else that you've noticed about your knee?</x:t>
  </x:si>
  <x:si>
    <x:t xml:space="preserve">Doctor: What brings you here today?
Patient: I've had this like, pain in my knee. It started within the last few hours and my knee's swollen, it's painful. Um, I can barely move it.
Doctor: Okay, were you uh, did you injure yourself at all before the last few hours or anything? Any trauma to um, is it the right knee or the left knee?
Patient: It's the left knee, an no, no trauma uh, or anything like that. I've never hurt this knee before in my life.
Doctor: Okay, and has this ever happened to you before?
Patient: Uh. Um, no, nothing in my joints. I've had other infections before, like in my skin, um, like cellulitis, but I, I've never had a knee, knee problem like this before.
Doctor: Okay, I see. And have you ever had cellulitis in that area?
Patient: Uh, I, I had it over, kind of my, uh, like over my foot before.
Doctor: Okay, and um, where would you describe the pain is? Is it like on the kneecap, is it above the kneecap, below? Where would you describe it?
Patient: I would say it's like my whole knee, it's like uh, I don't know, it looks like it's going to explode.
Doctor: Okay, is it like um, so, it's swollen, is it red and warm?
Patient: It is, yeah, it's really red.
Doctor: Okay
Patient: And warm as well.
Doctor: Okay, and how would you describe the pain? Um, is it like a sharp, stabbing pain, or is it an aching pain?
Patient: It's a, a stabbing pain.
Doctor: Okay, and uh, are you mainly having the pain with movement of your knee, or um, when you're pressing on it?
Patient: Uh, I would say both, I can't um, I can't really move it, it'll give me pain. And even pressing on it, it's, it's quite painful.
Doctor: Okay. And on a scale of uh, 1 to 10, sorry 0 to 10, with 10 being the worst pain you've felt in your life, how much would you rate this pain?
Patient: Uh, it's a 9.
Doctor: A 9, okay. Um, so it just started a few hours ago. Is there anything that makes the pain better or worse?
Patient: Um, I mean just trying to stay as still as possible is all I've been been doing so far, uh because, um, like any type of movement is really bad.
Doctor: Okay, and are you able to weight bear, are you able to stand and walk by yourself?
Patient: Uh, I, I was pretty much like hopping on one leg to, to get in here and as soon as I could, I got in a wheelchair, just because it uh, hurts so bad.</x:t>
  </x:si>
  <x:si>
    <x:t xml:space="preserve">V025</x:t>
  </x:si>
  <x:si>
    <x:t xml:space="preserve">[...earlier consultation omitted...]
Doctor: OK, and have you been having any kind of swelling in your legs or feet?
Patient: Uh, no swelling in my legs.
Doctor: OK. Have you been feeling tired at all, like increasingly fatigued?
Patient: No, my energy has been good.
Doctor: Have you been having any kind of thumping or palpitations or feel like your heart has been racing at all?
Patient: It uhh it does feel like it's beating faster right now. It usually only feels like this when I'm playing sports.</x:t>
  </x:si>
  <x:si>
    <x:t xml:space="preserve">It uhh it does feel like it's beating faster right now. It usually only feels like this when I'm playing sports.</x:t>
  </x:si>
  <x:si>
    <x:t xml:space="preserve">I'd like to examine you now.</x:t>
  </x:si>
  <x:si>
    <x:t xml:space="preserve">Doctor: What brings you in here today?
Patient: Yeah, I have this pain in my chest.
Doctor: OK, and where is the pain exactly?
Patient: It's just right  over on the on the left side.
Doctor: OK, and when did this pain start?
Patient: It started just 30 minutes ago.
Doctor: OK, and did it just come on randomly or were you doing something strenuous?
Patient: I was just shovelling the driveway and it came on.
Doctor: OK, and has that pain been getting worse at all over the last half an hour?
Patient: No, it just came on suddenly and it's uh, uh, I'm sorry. Yeah the pain has been there this whole time and it's gotten worse ever since it started.
Doctor: OK, and how would you describe the pain? Is it kind of like an aching pain or is it a sharp or tight tightness kind of pain? How would you describe it?
Patient: It feels dull. I feel like there's a lot of pressure on my chest.
Doctor: And how do you rate the pain right now on a scale of zero to 10, zero being the least amount of pain you felt in your life, 10 being the worst?
Patient: Uh, seven.
Doctor: Seven, OK. Have you had ny similar episodes before?
Patient: No, I've never had any chest pain before.
Doctor: OK, and is the pain just staying in the region of the left chest area that you mentioned or is it traveling to any other part of your body?
Patient: No, I'm kind of just feeling it right here. On the left side.
Doctor: OK, uh, is there anything that you do that makes the pain either get worse or go away or like get better?
Patient: Uh. I think it's a bit bit worse if I'm moving around or when I was walking in here. I think it it made it a bit worse, but nothing has seemed to make it any better since it starting.
Doctor: OK, and does it change at all from you changing positions like if you're standing up versus sitting down or laying down?
Patient: I think it's a little bit worse when I when I'm laying down.
Doctor: OK, and other than the pain that you've been having, have you been having any other symptoms like a cough or difficulty breathing or any pain when you're breathing in or out?
Patient: Uh, I've felt a little bit uh short of breath or having difficulty breathing since yesterday when the sorry since the pain started, but uh just the difficulty breathing.
Doctor: OK. And have you recently injured your chest or surrounding area at all? Like from a fall or anything like that?
Patient: I do I play rugby and was tackled by another player yesterday. But but my chest felt fine after that.
Doctor: OK so but the pain just started half an hour ago?
Patient: Yeah.
Doctor: OK, have you have you been traveling at all recently?
Patient: No, been at home.
Doctor: OK, has anyone around you been sick at all?
Patient: No.
Doctor: OK, have you been having any symptoms like nausea or vomiting or any fevers or chills?
Patient: No nausea or vomiting, but I do feel a little bit hot today.
Doctor: OK, but have you measured your temperature at all?
Patient: Uh I did and it was 38 degrees.
Doctor: OK, and have you been having any kind of swelling in your legs or feet?
Patient: Uh, no swelling in my legs.
Doctor: OK. Have you been feeling tired at all, like increasingly fatigued?
Patient: No, my energy has been good.
Doctor: Have you been having any kind of thumping or palpitations or feel like your heart has been racing at all?
Patient: It uhh it does feel like it's beating faster right now. It usually only feels like this when I'm playing sports.</x:t>
  </x:si>
  <x:si>
    <x:t xml:space="preserve">V026</x:t>
  </x:si>
  <x:si>
    <x:t xml:space="preserve">[...earlier consultation omitted...]
Doctor: OK, and what's your living situation like currently?
Patient: Right now I'm actually just living alone in a in an apartment.
Doctor: Ok, and do you smoke at all?
Patient: No, never I can't with the with all this like training for yeah at the race and stuff like that.
Doctor: OK, that's good. Any recreational drugs like marijuana, cocaine, heroin, anything like that before?
Patient: No, I've never used anything like that in the past.</x:t>
  </x:si>
  <x:si>
    <x:t xml:space="preserve">No, I've never used anything like that in the past.</x:t>
  </x:si>
  <x:si>
    <x:t xml:space="preserve">I'm going to need an x-ray of your ankle.</x:t>
  </x:si>
  <x:si>
    <x:t xml:space="preserve">Doctor: What brings in here today?
Patient: Hi there, I've just last night I was, I went for a run and I twisted my ankle. I think I stepped on something and it it really hurts.
Doctor: OK, and so when did you have the injury?
Patient: It was just yesterday.
Doctor: OK.
Patient: Yeah it was just just yesterday that it happened.
Doctor: OK, and do you remember if you twisted it so you twisted your ankle, like did did it twist inwards or outwards?
Patient: Inwards yeah, I feel like I inverted my ankle.
Doctor: OK. And, so since then, were you able to stand up and or were you not able to bear any weight?
Patient: No, I was able to, uh, kind of finish the I I I just finished the walk. I was able to walk home 'cause it didn't hurt that bad immediately. It was a bit painful, but the pain really started a few hours later and has been pretty much constant ever since.
Doctor: OK, OK so it kind of got worse over time over the last day?
Patient: Yeah.
Doctor: And do you notice any kind of bruising, redness, swelling, any skin changes?
Patient: No, I haven't really noticed I uh, really, any swelling or I or or skin changes. Yeah, no skin changes and no swelling.
Doctor: OK, and how would you describe the pain? Is it like a dull, aching pain or sharp stabbing pain?
Patient: Dull and achy.
Doctor: OK. OK. And has this happened to you in your ankle before?
Patient: I'm I, I feel like I've maybe I I've done something like this when I was younger, maybe playing basketball or something like this when I was a kid, I twisted my ankle before.
Doctor: OK, and does this pain just stay, where's the pain exactly on the right side of your ankle or on your left, like interior side?
Patient: It's on the right kind of outside of the ankle.
Doctor: OK, and which ankle is this just to clarify?
Patient: On the right ankle.
Doctor: OK so so it hurts on the right side of the right ankle.
Patient: Yeah, exactly.
Doctor: OK, and does the pain radiate or move anywhere in your feet?
Patient: I can kind of feel it around on the the sole of my foot as well, but mostly on the outside though.
Doctor: OK, and is there anything that makes the pain better or worse?
Patient: Alright, it gets worse really to if if I move my ankle or if I'm standing on it.
Doctor: OK, and anything that makes it better?
Patient: Alright, just if I rest and avoid moving it.
Doctor: OK, have you notice any fevers or chills?
Patient: No.
Doctor: OK, any pain in any other joints besides your ankle?
Patient: No, just my my right ankle.
Doctor: OK, any appetite or weight changes?
Patient: No, I've been I've been just training for this race coming up, so I mean I've been just trying to work on my fitness a little bit, but my weight has been relatively stable.
Doctor: OK, any weakness in your right right extremities or any kind of numbness or tingling sensation?
Patient: No numbness or tingling and no muscle weakness either.
Doctor: Ok, right. Have you been diagnosed with any medical conditions in the past?
Patient: I'm uh, I had diarrhea a few months ago and I was given a fluoroquinolone as an antibiotic.
Doctor: OK, that's two months ago. OK. And any medications that you're on currently?
Patient: I I take a Vitamin D and some other vitamins too. Vitamin A as well I guess that just helps my my skin and and then the vitamin D for my my bones.
Doctor: OK, any allergies to medications or any environmental issues?
Patient: No allergies, no.
Doctor: OK, any hospitalizations or previous surgeries?
Patient: No.
Doctor: OK. Any family history of any musculoskeletal conditions, any rheumatological conditions. Anything that you know of?
Patient: My grandparents have arthritis, so and my like my dad had had gout before.
Doctor: OK, and do your grandparents have rheumatoid arthritis or osteoarthritis, do you know?
Patient: I think osteo yeah osteoarthritis.
Doctor: OK, and do you currently work?
Patient: I do, yeah, I work as a software engineer.
Doctor: OK, and what's your living situation like currently?
Patient: Right now I'm actually just living alone in a in an apartment.
Doctor: Ok, and do you smoke at all?
Patient: No, never I can't with the with all this like training for yeah at the race and stuff like that.
Doctor: OK, that's good. Any recreational drugs like marijuana, cocaine, heroin, anything like that before?
Patient: No, I've never used anything like that in the past.</x:t>
  </x:si>
  <x:si>
    <x:t xml:space="preserve">V027</x:t>
  </x:si>
  <x:si>
    <x:t xml:space="preserve">[...earlier consultation omitted...]
Doctor: OK and how about feeling like your heart's racing?
Patient: No heart has been fine.
Doctor: OK. And how about changes to your bowel movements?
Patient: No, I go pretty regularly.
Doctor: OK and urine, any changes there?
Patient: Nope.</x:t>
  </x:si>
  <x:si>
    <x:t xml:space="preserve">Nope.</x:t>
  </x:si>
  <x:si>
    <x:t xml:space="preserve">OK, so just to recap, you've had worsening breathlessness and a dry cough for two years, mainly triggered by exertion. You sometimes feel like you can't catch your breath or take a full breath, which can get up to an 8 out of 10 when you're active. You haven't had any wheezing, fever, sore throat, runny nose, ear pain, vision changes, blood in your cough, or swelling. Recently, over the last couple of months, you've noticed some night sweats and lost about three kilograms, and you feel tired sometimes. Is that right?</x:t>
  </x:si>
  <x:si>
    <x:t xml:space="preserve">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x:t>
  </x:si>
  <x:si>
    <x:t xml:space="preserve">V028</x:t>
  </x:si>
  <x:si>
    <x:t xml:space="preserve">[...earlier consultation omitted...]
Doctor: Is that the only medication that you take?
Patient: And I also take a couple of vitamins.
Doctor: OK. Do you have any allergies?
Patient: Um no, no allergies.
Doctor: Just gonna ask you few questions about your lifestyle. Do you live here in town?
Patient: I do.</x:t>
  </x:si>
  <x:si>
    <x:t xml:space="preserve">I do.</x:t>
  </x:si>
  <x:si>
    <x:t xml:space="preserve">I'm just going to have a chat with you get an idea of what's going on and then I can go over it with. The doctor will come back together and talk to you about the next steps. How does that sound to you?</x:t>
  </x:si>
  <x:si>
    <x:t xml:space="preserve">Doctor: I’m just going to have a chat with you get an idea of what's going on and then I can go over it with. The doctor will come back together and talk to you about the next steps. How does that sound to you?
Patient: Thats great, thank you.
Doctor: Awesome OK. It says here that you have been having a sore throat. Can you tell me a little bit more about that?
Patient: Sure, yeah the sore throat it started about four days ago. And it's really it's it's very sore. I can drink fluids OK but I'm even having some issues swallowing food.
Doctor: OK, so you said four days ago?
Patient: Yes, four days ago.
Doctor: OK. So it's been kind of sore, some issues swallowing food OK, and over the last four days has it gotten worse, Better that it stayed the same?
Patient: Um the sore throat has it's got, it's getting worse for sure.
Doctor: OK, have you ever had anything like this before?
Patient: I I, I guess when I was younger I had mono. And I had a sore throat when I had that, yeah.
Doctor: OK, is there anything that makes it worse or like anything that makes it feel better right now?
Patient: No, not really. I've tried, you know, I've tried gargling with salt water. I've tried some painkillers like nothing, nothing seems to be working.
Doctor: Uhm OK, and you said you've also had some difficulty breathing.
Patient: Yeah, that's right.
Doctor: Did that start around the same time?
Patient: That actually started yesterday, and it's gotten me very concerned.
Doctor: OK. Yeah, I can understand how that would be concerning. We're definitely going to try to get to the bottom of it today. Um OK so started yesterday, said then has it gotten any worse? Is it the same way better?
Patient: Um the, well, I guess it's getting worse, yeah.
Doctor: Do you feel like it's all the time or is it on and off?
Patient: It's it's just there all the time.
Doctor: Have you ever had any difficulty breathing in the past?
Patient: Um no no, no, not like this.
Doctor: OK. Uh. Have you have you recently been in contact with anyone that's been sick?
Patient: Um. I have, no. I don't leave the house much nowadays. I go to the grocery store, I go to the bank. Just essential things.
Doctor: OK, have you traveled recently?
Patient: Um no, no, I haven't left the city for anything.
Doctor: OK. Do you know if your immunizations are up to date?
Patient: Ah yes, everything's up to date.
Doctor: OK. That’s good. See you so I'm just gonna ask you about a few other symptoms. I just like to get an idea if there's anything else you been experiencing. Have you had a cough at all?
Patient: No.
Doctor: Have you had a runny nose?
Patient: No runny nose.
Doctor: Have you had any headaches?
Patient: No.
Doctor: Have you had any chest pain?
Patient: Ah nope, no chest pain.
Doctor: Have you have you lost any of your sense of smell or taste?
Patient: Um maybe taste a little bit but not smell.
Doctor: OK, OK, when did that start?
Patient: The taste ah. Maybe two days ago?
Doctor: OK. OK taste two days ago. Has it been on and off or has it been kind of constantly like a reduced sense of taste?
Patient: It's it's. It's been pretty constant.
Doctor: OK. Have you had anything like that before?
Patient: No.
Doctor: Have you had any fevers?
Patient: I don't think so.
Doctor: OK. Have you had any chills or night sweats?
Patient: No.
Doctor: Have you felt overall really tired and weak?
Patient: I. I felt tired, maybe not weak, but my I feel like my muscles all ache.
Doctor: OK. OK, and when did that start?
Patient: That started. Like immediately after my sore throat.
Doctor: OK. OK. OK, well we might circle back. I think there is any more questions you want to ask. Right now, but just in general, in terms of your overall health, do you have any chronic conditions that you take medications for or see a doctor for regularly?
Patient: Um I have mild COPD.
Doctor: OK. And what medications are you currently taking?
Patient: Um I'm on a long acting beta agonist.
Doctor: OK, is that the only medication you take?
Patient: Pardon me.
Doctor: Is that the only medication that you take?
Patient: And I also take a couple of vitamins.
Doctor: OK. Do you have any allergies?
Patient: Um no, no allergies.
Doctor: Just gonna ask you few questions about your lifestyle. Do you live here in town?
Patient: I do.</x:t>
  </x:si>
  <x:si>
    <x:t xml:space="preserve">V029</x:t>
  </x:si>
  <x:si>
    <x:t xml:space="preserve">[...earlier consultation omitted...]
Doctor: No OK, uhm how about fatigue?
Patient: I guess just a little bit tired over the last few days, but I don't know that's just just from the diarrhea and just being sick.
Doctor: Um OK, and how about rashes?
Patient: No.
Doctor: No, OK changes in your vision or hearing?
Patient: No.</x:t>
  </x:si>
  <x:si>
    <x:t xml:space="preserve">No.</x:t>
  </x:si>
  <x:si>
    <x:t xml:space="preserve">Doctor: Okay. Let’s talk about the nausea, vomiting, and diarrhea. When did those symptoms start, and about how many times a day have you been vomiting or having diarrhea?</x:t>
  </x:si>
  <x:si>
    <x:t xml:space="preserve">Doctor: What brings you in?
Patient: Hi I just came in today I have been having, just been feeling really sick over the last three or four days. It started with just like a headache and cough four days ago and then I started getting some nausea and vomiting few days back as well as diarrhea.
Doctor: OK, so the headache and cough started first you said right?
Patient: Yeah.
Doctor: OK, let's talk about the headache first that came on four days ago. Has it been persistent or does it come and go?
Patient: It's been pretty persistent. Besides, when I take some Tylenol.
Doctor: OK, and does anything make it better or worse?
Patient: Just a Tylenol, nothing really, yeah, it's pretty constant,
Doctor: OK, and have a an and sorry where exactly is it is it on it's like at the top of your head, temples, forehead?
Patient: It's kind of like my forehead in the top of my head on both sides.
Doctor: OK and does it radiate your neck or anywhere else?
Patient: No, I think it’s, it doesn't go to my neck or anywhere else.
Doctor: OK, and do you have neck stiffness or neck pain with that?
Patient: No, not really.
Doctor: And one to ten, ten being the worst pain you've ever had, how bad is it?
Patient: Uh the headache, probably like 7.
Doctor: OK. Uhm and timeline wise, has it gotten worse over the past four days?
Patient: It's kind of stayed around the same, actually.
Doctor: OK, OK, and have you ever had a headache like this in the past?
Patient: Not really, I don't really get too many headaches
Doctor: OK so this isn't you. Alright And let's go on to the cough. The cough started around the same time you said, has that gotten better or worse over the past four days?
Patient: It's the cough is around the same as well.
Doctor: OK, and is it a dry cough or are you breaking up any flem?
Patient: It's mostly a dry cough.
Doctor: OK, so no sputum or blood?
Patient: No, no.
Doctor: OK, good. Alright, and are you short of breath at all?
Patient: Uhm, no, not really,
Doctor: No OK. And how about wheezing?
Patient: Uhm no, no wheezing.
Doctor: OK. Only saying an. And any chest pain?
Patient: No.
Doctor: No OK. And have you had any weight loss over the past few months?
Patient: No, I haven't.
Doctor: Any fevers or chills?
Patient: No.
Doctor: No OK, uhm how about fatigue?
Patient: I guess just a little bit tired over the last few days, but I don't know that's just just from the diarrhea and just being sick.
Doctor: Um OK, and how about rashes?
Patient: No.
Doctor: No, OK changes in your vision or hearing?
Patient: No.</x:t>
  </x:si>
  <x:si>
    <x:t xml:space="preserve">V030</x:t>
  </x:si>
  <x:si>
    <x:t xml:space="preserve">[...earlier consultation omitted...]
Doctor: No wheeziness, OK. How about short of breath?
Patient: No.
Doctor: No OK. Uhm, any chest pain?
Patient: No.
Doctor: No. Do you ever feel like your heart is racing?
Patient: No, I can't say that I do.</x:t>
  </x:si>
  <x:si>
    <x:t xml:space="preserve">No, I can't say that I do.</x:t>
  </x:si>
  <x:si>
    <x:t xml:space="preserve">Have you had any other symptoms, such as a sore throat, runny nose, chills, body aches, fatigue, headache, or loss of taste or smell?</x:t>
  </x:si>
  <x:si>
    <x:t xml:space="preserve">Doctor: What brings you in today?
Patient: So, just for the past, like 3 days I've been coughing. It's I I don't feel particularly sick. I'm just kind of dry like annoying call that won't go away and then today I took my temp in it It's pretty high. It was like 99 point like 9. I didn't really take it the other days, so I guess so I just thought I'd better come get it checked out because I, I am on like a biologic medication, so, for my Crohn's disease.
Doctor: OK, yeah. Yeah, thank you for coming in. I think it's good that you are getting this checked out as early as possible. So just to rewind a little bit. When did your dry cough start?
Patient: Uh, like 3 days ago three days ago.
Doctor: 3 days ago, OK. And when did your fever start?
Patient: So I didn't take my temp, but like the other days, but like for sure this morning.
Doctor: OK um, OK, so the cough is it always a dry cough or do you sometimes bring up sputum or blood?
Patient: Yeah, it's always a dry cough. It's really just annoying.
Doctor: Yeah, yeah. Do you feel wheezy at all?
Patient: Uh, no.
Doctor: No wheeziness, OK. How about short of breath?
Patient: No.
Doctor: No OK. Uhm, any chest pain?
Patient: No.
Doctor: No. Do you ever feel like your heart is racing?
Patient: No, I can't say that I do.</x:t>
  </x:si>
  <x:si>
    <x:t xml:space="preserve">V031</x:t>
  </x:si>
  <x:si>
    <x:t xml:space="preserve">[...earlier consultation omitted...]
Doctor: OK, and you just go to Western?
Patient: Mhmm.
Doctor: Do you live uh near campus with anyone?
Patient: Uh I have like a roommate, yeah we, I live in an apartment with a roommate.
Doctor: OK, have they been sick at all in the last little while?
Patient: No.</x:t>
  </x:si>
  <x:si>
    <x:t xml:space="preserve">OK, and last little while, have you done any traveling?</x:t>
  </x:si>
  <x:si>
    <x:t xml:space="preserve">Doctor: So what brings you in the clinic today?
Patient: Hey, uh I just had this cough that's been like really bothering me.
Doctor: OK, how long have you had that for?
Patient: Uh like in the past few days, it's been really like gross and I've been coughing up this like gunk, but I've had it for, I've honestly had a cough for like three months, it's just like sometimes it's like there, and sometimes it kind of goes away. It feels like it keeps coming back.
Doctor: OK, have you had any chest pain?
Patient: Um no, like it kinda hurts when I cough now but not not like on its own.
Doctor: OK, have you noticed any fevers at home? Or fevers at all in the last couple days?
Patient: Uh I've been feeling like hot at night in the past couple days, uh but like I didn't actually take my temp.
Doctor: OK, have you had any night sweats? You wake up, the sheets are soaked?
Patient: Uh no, not that.
Doctor: Nothing like that, OK, have you noticed any unexplained weight loss over the last little while?
Patient: Um, no.
Doctor: So so you go on the scale, you lost a few pounds, but you haven't been trying to basically.
Patient: No, like I, I don't really weigh myself, but I don't think so.
Doctor: So you haven't been noticing clothes have been fitting loose or anything like that?
Patient: No, no, like I wish but no.
Doctor: Got it, got it. Now let's talk about what you're bringing up with your cough. What colour is it?
Patient: It's really gross. It's kind of like greenish.
Doctor: Greenish, OK, and also any red or any blood with it?
Patient: No.
Doctor: OK. And doesn't smell at all, smell funky?
Patient: I haven't noticed.
Doctor: OK, so you've just been bringing this stuff up for the last couple of days, when specifically? Two days ago, three days ago?
Patient: Like maybe maybe three days.
Doctor: Three days ago, and you said before that you kind of had this dry cough before. Uh when did you first notice that? Three months ago, you said?
Patient: Yeah, I was uh, I I do like um, it like sounds silly but I do like a pole dancing class just for exercise and I was like at my class and I kind of just started to like feel like I was like a little coughy and like I don't think there's anything special, that was just like when I noticed it.
Doctor: OK, anyone at the class sick at that time?
Patient: I don't think so, like it's a really long time ago, I don't really remember.
Doctor: Got it, got it. Anyone sick near you or around you in the last couple of weeks?
Patient: No, no, not that I can think of.
Doctor: OK, and regarding other, any, we already talked about chest pain, uh you've been able to eat food alright?
Patient: Uh yeah, like uh yeah it's like pretty normal.
Doctor: So no nausea, no vomiting?
Patient: Uh no, none of that.
Doctor: You don't have a stiff neck at all, do you?
Patient: No, no I don't.
Doctor: OK, but how about other parts of your body? Any pain? Tenderness anywhere?
Patient: I don't think so, no. Like I'm I'm a little tired now, um like the cough is like maybe for like a month, it's been kind of waking me up a little bit so my my sleep hasn't been great, but I don't think it's like I have like pain. I'm just like tired.
Doctor: OK so the cough does wake you up at night?
Patient: Yeah.
Doctor: Does it wake you up every night?
Patient: Yeah, like pretty well, for like the last, not like all three months, but probably the last month.
Doctor: OK. Alright. I'm just gonna move on, talk a little bit about you and the past. Uh so any issues that you've seen a doctor for before?
Patient: Uh just like eczema.
Doctor: OK, and do you take anything for that?
Patient: Just like moisturizing creams, um like my family doctor back home said like, a couple times when it was really bad she would give me one like to go get at like shoppers, but right now it's not bad so I just have just like a regular cream.
Doctor: Got it, ever been hospitalized before?
Patient: Uh, no.
Doctor: OK, any surgeries?
Patient: No.
Doctor: OK so aside from the eczema, it sounds like you're pretty healthy eh?
Patient: Yeah.
Doctor: OK. Do you have any allergies?
Patient: Uh I think maybe um maybe cats because, I I don't have one, but sometimes I've noticed stuff, but I've never like, it's never really been too big of an issue.
Doctor: OK, so you've never taken any medications or got stung by a bee and had any trouble breathing or even a certain food?
Patient: No.
Doctor: Nothing like that, OK, are you taking any medications right now?
Patient: Uh no.
Doctor: OK, and you just go to Western?
Patient: Mhmm.
Doctor: Do you live uh near campus with anyone?
Patient: Uh I have like a roommate, yeah we, I live in an apartment with a roommate.
Doctor: OK, have they been sick at all in the last little while?
Patient: No.</x:t>
  </x:si>
  <x:si>
    <x:t xml:space="preserve">V032</x:t>
  </x:si>
  <x:si>
    <x:t xml:space="preserve">[...earlier consultation omitted...]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x:t>
  </x:si>
  <x:si>
    <x:t xml:space="preserve">Um well, no, I don't. I don't I don't vaccinate my kids. I'm just I'm I'm worried that they'll uh get autism.</x:t>
  </x:si>
  <x:si>
    <x:t xml:space="preserve">OK, yeah, that's uh well, it's important to know um today that he's not vaccinated, because certainly that will influence um what we're thinking about in terms of what could be causing the symptoms. Um and we can uh discuss the, I guess more about the vaccination procedures and what not later. Um but OK, so he's not currently vaccinated, and have there been any um concerns with his growth and or development?</x:t>
  </x:si>
  <x:si>
    <x:t xml:space="preserve">Doctor: How may I help you?
Patient: Hi, um my son has just been sick over the past uh couple of days. He's just had this cough and uh stuffy nose and uhm, yeah. He's also had this uh rash that just started.
Doctor: OK, and so can you tell me a bit more about the cough, so it started um?
Patient: Yeah, so the cough started about a week ago and um his stuffy nose, he's sort of had a stuffy nose since around the same time and then um, those symptoms um so it continued and got a little bit better over the past few days and then he started um having this rash on his face that then kind of went down to his neck.
Doctor: OK, and is the rash still uh there right now?
Patient: Yeah.
Doctor: OK. Um and is the cough uh productive, is he bringing up sputum?
Patient: No.
Doctor: OK, um has he brought up um any blood?
Patient: No.
Doctor: OK. Um and uh, you told me about the the runny nose, what um, can you describe the discharge?
Patient: Yeah it's just uh it's just uh watery discharge. his eyes are also red and kind of um he's been teary. Or I guess just yeah, it's just been like very watery and red and uh yeah, it's clear discharge.
Doctor: OK. Um has he had a sore throat?
Patient: Um no.
Doctor: Alright, um how about any changes to his sense of smell or or taste?
Patient: Uhm he, uh, he hasn't really, uh yeah, he hasn't said anything about that.
Doctor: Alright and has he had any problems with breathing.
Patient: No.
Doctor: OK. Has he mentioned anything about chest pain?
Patient: Uh no.
Doctor: Alright, um has he had any fevers or chills?
Patient: Uh yeah, he does have a fever, um 39.5 I checked yesterday.
Doctor: OK, uh is that is that the first time that um he was noted to have a fever yesterday?
Patient: Um he has had a fever for the past few days. Um it was around, it was less, between 37.5 to 38.5, um but then yesterday was just uh it just kept going up so I got concerned and thought I should bring him in.
Doctor: OK, I see. Yeah well it's good that you brought him in. Um has he been having any night sweats?
Patient: No.
Doctor: And um how has his weight been over the last several months, has he been gaining weight OK still?
Patient: Oh yeah.
Doctor: Alright, that's great. Um and has he had any any any wheezing?
Patient: No.
Doctor: Um how about any like changes to his appetite?
Patient: Um he's just been eating less since he's been feeling unwell.
Doctor: OK.
Patient: Yeah, but he still he still he manages to eat about um half the plate. So I guess it's not too bad.
Doctor: And that's been the last few days?
Patient: Yeah, yeah.
Doctor: OK and um has he had any muscle aches or body pains?
Patient: Uh, no, not really.
Doctor: OK, and um is, are there any exposures that um could've possibly caused a skin rash like changes in like laundry detergent, or um like coming into contact with with anything on his skin or or taking um, or any anything that he was allergic to that he's been around?
Patient: Um I don't think so. He was playing outside with the neighbours, um with the neighbour's kids, but I don't think he came into contact. I'm not sure.
Doctor: OK, uh, has he been diagnosed with any medical conditions before?
Patient: No, he's pretty healthy.
Doctor: OK and sorry, just to to go back to the symptoms, I missed a few questions here. Did he have uh, does he have any nausea or vomiting?
Patient: No.
Doctor: How about any diarrhea?
Patient: Uh no.
Doctor: OK, and any abdominal pain?
Patient: Um nope.
Doctor: Or or any urinary problems?
Patient: No, no.
Doctor: OK. Um And and so he hasn't been diagnosed with any medical conditions before. Um does he take any medications regularly, like prescribed or over the counter?
Patient: Um no he doesn't.
Doctor: Alright, and any allergies to medications or uh environment that you're aware of?
Patient: Um no.
Doctor: OK, and um are his immunizations up to date?
Patient: Um well, no, I don't. I don't I don't vaccinate my kids. I'm just I'm I'm worried that they'll uh get autism.</x:t>
  </x:si>
  <x:si>
    <x:t xml:space="preserve">V033</x:t>
  </x:si>
  <x:si>
    <x:t xml:space="preserve">[...earlier consultation omitted...]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x:t>
  </x:si>
  <x:si>
    <x:t xml:space="preserve">Mm.</x:t>
  </x:si>
  <x:si>
    <x:t xml:space="preserve">And is there anything that makes it better or worse?</x:t>
  </x:si>
  <x:si>
    <x:t xml:space="preserve">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x:t>
  </x:si>
  <x:si>
    <x:t xml:space="preserve">V034</x:t>
  </x:si>
  <x:si>
    <x:t xml:space="preserve">[...earlier consultation omitted...]
Doctor: OK. Any muscle weakness at all?
Patient: Uh no muscle weakness.
Doctor: OK, have you been uh having any uh kind of erectile dysfunction?
Patient: Uh no concerns with uh erectile dysfunction.
Doctor: OK, and any issues with uh incontinence, like uh having accidents at all, at night or during the day?
Patient: Uh no, I haven't had any problems with bowel or bladder incontinence.</x:t>
  </x:si>
  <x:si>
    <x:t xml:space="preserve">Uh no, I haven't had any problems with bowel or bladder incontinence.</x:t>
  </x:si>
  <x:si>
    <x:t xml:space="preserve">OK, alright, and in terms of your past medical history, have you have you been diagnosed with any conditions like high blood pressure, diabetes?</x:t>
  </x:si>
  <x:si>
    <x:t xml:space="preserve">Doctor: And what brings you to the emergency department today?
Patient: Low back pain.
Doctor: OK, and where exactly is uh is the back pain?
Patient: So the pain's just right in the in the lower back.
Doctor: Just in the lower back, OK. And when did this pain start?
Patient: It started yesterday, I was unloading groceries from my pickup truck when it suddenly started.
Doctor: OK, so, and, did you kind of make any kind of movement? Or did you pick up something really heavy?
Patient: I'm not sure. I just noticed the pain after um after that.
Doctor: OK, and what kind of pain are you experiencing? Is it like a dull cramping pain or is it more like a sharp or stabbing pain?
Patient: It feels like it's stabbing just right in my lower back.
Doctor: OK. And, um, on a scale of 1 to 10, uh 1 being like the least pain that you felt in your life, 10 being the worst, how much would you rate this pain?
Patient: If I'm sitting, uh completely still like like I am right now, it's a 2 out of 10.
Doctor: OK. Um and when does it get worse?
Patient: Uh anytime I I move or bend my back or uh even cough it it worsens the pain significantly.
Doctor: OK, and has this pain changed at all since yesterday?
Patient: No, it's been this same awful pain this whole time.
Doctor: OK and have have you ever had this kind of pain before?
Patient: I've had back pain uh over the years, but nothing like this before.
Doctor: OK. And does it, does the pain go anywhere or does it just stay in the lower back?
Patient: I also feel the pain uh into my right leg.
Doctor: OK, and is it the same kind of aching or like stabbing pain that goes into your right leg? Or is it uh just like an aching pain?
Patient: Uh it's it's a, uh, an aching pain.
Doctor: OK. And do you have any other symptoms besides the pain? Like are you experiencing any kind of weakness or any kind of, any other changes in your health?
Patient: Uh no it's just the uh the low back pain.
Doctor: OK, and have you ever uh experienced any kind of trauma to your back? Like something has hit you or you've fall down, anything like that?
Patient: No, I can't remember any injuries like that in the past.
Doctor: OK, any uh fevers or chills or night sweats?
Patient: Um no fever, uh no chills, no night sweats.
Doctor: OK, any uh symptoms of feeling very tired, fatigued, anything like that?
Patient: Uh no, I've been OK recently.
Doctor: OK. Any changes to your skin at all? Uh I mean, any rashes?
Patient: No.
Doctor: OK, any pain in your joints at all?
Patient: Uh just the back pain.
Doctor: OK. Uh any new coughs or any um symptoms and runny nose or anything like that?
Patient: Uh no.
Doctor: Any changes in your um bowel movements at all like diarrhea, constipation or anything?
Patient: Nothing like that, been regular.
Doctor: OK, how about, uh, any urinary problems?
Patient: Uh no, nothing to report there.
Doctor: OK, and how has your appetite been?
Patient: Uh appetite's been normal.
Doctor: Any significant weight loss or weight gain recently?
Patient: No, the weight's been about the same.
Doctor: OK, any recent infections that you know of?
Patient: No, I've been feeling well otherwise.
Doctor: OK. Any uh tingling sensation or numbness uh in your back or lower limbs, in your legs?
Patient: Uh no numbness or tingling.
Doctor: OK. Any muscle weakness at all?
Patient: Uh no muscle weakness.
Doctor: OK, have you been uh having any uh kind of erectile dysfunction?
Patient: Uh no concerns with uh erectile dysfunction.
Doctor: OK, and any issues with uh incontinence, like uh having accidents at all, at night or during the day?
Patient: Uh no, I haven't had any problems with bowel or bladder incontinence.</x:t>
  </x:si>
  <x:si>
    <x:t xml:space="preserve">V035</x:t>
  </x:si>
  <x:si>
    <x:t xml:space="preserve">[...earlier consultation omitted...]
Doctor: OK, OK, and how would you describe the cough? Is it wet or dry?
Patient: It's dry.
Doctor: OK, and. And how about the wheezing? Are you getting it like frequently every time you have an episode, or just sometimes?
Patient: I I'm getting an on and off, but basically every time I cough after that I'll be wheezy for a little bit.
Doctor: OK. OK, and are you having any other symptoms like sore throat, runny nose, shortness of breath, anything like that?
Patient: No, nothing like that.</x:t>
  </x:si>
  <x:si>
    <x:t xml:space="preserve">No, nothing like that.</x:t>
  </x:si>
  <x:si>
    <x:t xml:space="preserve">Have you had any fever, chest pain, or difficulty speaking in full sentences, and has the Ventolin been relieving your symptoms when you use it?</x:t>
  </x:si>
  <x:si>
    <x:t xml:space="preserve">Doctor: What brings you in here today?
Patient: Yeah, hi, I'm so I have been very wheezy for the past week um and I'm also like consistently coughing all the time and it's not getting any better. Um I do have asthma and I think it's it's acting up.
Doctor: OK, and how long have you had asthma for?
Patient: Since I was like 5.
Doctor: OK, and are you using any puffers?
Patient: Yes, so I am on a short acting. As well as an inhaled cortico steroid. And I only take the short acting like when I have the symptoms
Doctor: OK. And so how how long have you been symptoms worsening for?
Patient: For the past week I would say.
Doctor: OK, and how how often have you used the ventilin?
Patient: The ventilin that I use is almost every day like a couple times a day.
Doctor: OK, so would you say more than 10 times?
Patient: Yes.
Doctor: OK. And have you had to do you have y to miss any school or anything like that over the past week?
Patient: I missed two days.
Doctor: Two days, OK. And are you just getting daytime symptoms or are you waking up from sleep or not being able to sleep because of your symptoms?
Patient: I woke up twice last week.
Doctor: OK. OK, so yeah, definitely seems like your symptoms are really acting upon and so you're getting some wheezing and you say you're also getting a cough.
Patient: Yes, that's right,
Doctor: OK. And what kind of things would you be doing that you get these symptoms? Is it mostly exertion or is it exposure to dust or any other environmental factors?
Patient: Uh, but, it's mostly exertion, but things like cold air can trigger it too.
Doctor: OK, I see. OK, any have you been exposed to any new environments where there is, you know, dusty carpets, mold, new animals, anything like that?
Patient: Uh no nothing like that.
Doctor: OK, OK, and how would you describe the cough? Is it wet or dry?
Patient: It's dry.
Doctor: OK, and. And how about the wheezing? Are you getting it like frequently every time you have an episode, or just sometimes?
Patient: I I'm getting an on and off, but basically every time I cough after that I'll be wheezy for a little bit.
Doctor: OK. OK, and are you having any other symptoms like sore throat, runny nose, shortness of breath, anything like that?
Patient: No, nothing like that.</x:t>
  </x:si>
  <x:si>
    <x:t xml:space="preserve">V036</x:t>
  </x:si>
  <x:si>
    <x:t xml:space="preserve">[...earlier consultation omitted...]
Doctor: OK, um and how about, do you have any allergies?
Patient: No.
Doctor: OK, and have you had any surgeries or hospitalizations?
Patient: Uh no.
Doctor: OK. Um and, uh, could you tell me a little bit about uh where you're living and who you're living with?
Patient: So um I live with my boyfriend and we live in a rented basement apartment downtown.</x:t>
  </x:si>
  <x:si>
    <x:t xml:space="preserve">So um I live with my boyfriend and we live in a rented basement apartment downtown.</x:t>
  </x:si>
  <x:si>
    <x:t xml:space="preserve">I see, so it sounds like you've been having some numbness in your right hand for the past month or two. Is that correct?</x:t>
  </x:si>
  <x:si>
    <x:t xml:space="preserve">Doctor: How may I help you?
Patient: Um I'm here because I've had some numbness in my right hand and uh doesn't seem to be going going away, so I thought I should get it checked out by you.
Doctor: Yeah, certainly so, so when did this exactly start?
Patient: Um so it's been pretty gradual, I would say over the past month or two months um is when I first noticed it, but the numbness is definitely worse now than it was at the start.
Doctor: OK, and uh where is this um the pain and numbness, where are you feeling it exactly?
Patient: Um it's particular, it's the worst on my thumb and index finger.
Doctor: OK, do you feel it on your ring finger or uh, or sorry or your middle finger?
Patient: Um there is a little bit on my middle and ring finger, but it's like it's very very mild.
Doctor: OK. Uh, and uh, like how long, is, are the symptoms constant or or are they intermittent?
Patient: Um I would say it's somewhat constant, but it's worse when um when I'm trying to like hold the steering wheel or using my phone, or you know, reading a book.
Doctor: OK, I see, and um is there anything that you do uh at those times, to try to help get the symptoms to go away?
Patient: Um I guess I like shake out my hand um or yeah, try to put pressure on those numb, numb areas.
Doctor: OK, does flicking the the wrist or anything like that, does it help?
Patient: Uh maybe slightly.
Doctor: OK. And uh like how would you describe the the pains in your hand, like dull, achy, sharp?
Patient: I would say the pain is more like a tingling sensation. Um so I guess the tingling is is like a sharp feeling, um I wouldn't call it so much pain as I would just like tingling and numbness.
Doctor: OK. OK, and uh is is there anything, so you mentioned sort of the driving and using your phone, are there any other activities that make it worse?
Patient: Recently I found it's hard for me to hold things um in my right hand, so like if I'm trying to open up a jar um like it's hard for me to hold it, and sometimes I find uh like it'll just fall out of my hand.
Doctor: OK, so you're like dropping items and stuff?
Patient: Mhmm, yes.
Doctor: OK, and do you feel any, uh, like the numbness or tingling, does it radiate anywhere? Like to your forearm or up into your like upper arm or shoulder?
Patient: Uh no, I don't think so. No.
Doctor: OK. And do you have any neck pain?
Patient: No.
Doctor: OK, and have you had any trauma or injuries to your wrist or hand?
Patient: No, nothing that I can think of.
Doctor: Alright. Um and, have you had any weight loss recently?
Patient: No.
Doctor: How about any fevers or chills?
Patient: No.
Doctor: Have you had any night sweats?
Patient: No.
Doctor: OK, have you had any changes to vision or hearing?
Patient: No.
Doctor: How about other senses like any changes to your sense of smell or sense of taste?
Patient: No.
Doctor: Alright, have you had a runny nose or felt congested?
Patient: Uh no.
Doctor: Alright, have you had a sore throat or a cough, perhaps?
Patient: No.
Doctor: Alright, have you had any shortness of breath?
Patient: No.
Doctor: Have you had any chest pain or feeling like you're uh like feeling like you have heart palpitations?
Patient: No.
Doctor: OK. Have you had any lightheadedness or dizziness?
Patient: Uh no.
Doctor: Alright, and have you had any nausea or vomiting?
Patient: No.
Doctor: How about any abdominal pain?
Patient: No.
Doctor: Alright, how about any urinary problems?
Patient: Uh no.
Doctor: Have you had any changes to your bowel movements like diarrhea, constipation?
Patient: No.
Doctor: OK, and have you had any changes to your hair or nails?
Patient: No.
Doctor: And any skin rashes or um anything like that?
Patient: No.
Doctor: Alright, and uh have you had any other pains in your joints or any joint swelling?
Patient: No.
Doctor: OK. Uh, and have you been diagnosed with any medical conditions before?
Patient: No, not that I can think of, yeah no, when I was younger I had like childhood asthma but nothing since.
Doctor: OK, do you use any inhalers now?
Patient: No, not for a long time.
Doctor: OK, do you take any other medications?
Patient: No.
Doctor: OK, um and how about, do you have any allergies?
Patient: No.
Doctor: OK, and have you had any surgeries or hospitalizations?
Patient: Uh no.
Doctor: OK. Um and, uh, could you tell me a little bit about uh where you're living and who you're living with?
Patient: So um I live with my boyfriend and we live in a rented basement apartment downtown.</x:t>
  </x:si>
  <x:si>
    <x:t xml:space="preserve">V037</x:t>
  </x:si>
  <x:si>
    <x:t xml:space="preserve">Have you had any fever or chills since the pain began?</x:t>
  </x:si>
  <x:si>
    <x:t xml:space="preserve">V038</x:t>
  </x:si>
  <x:si>
    <x:t xml:space="preserve">[...earlier consultation omitted...]
Doctor: OK. OK, so just to kind of summarize what we've talked about, over the last two weeks, you started having these 20 to 30 minute episodes of chest pain that's on the left side, it feels more sharp, is that correct?
Patient: Yeah.
Doctor: And it's kind of constant when it comes on, there's nothing really that makes it better or worse, it just kind of goes away on its own after half an hour or so, it has kind of stayed the same over over the last two weeks, hasn't really gotten worse or better, it hasn't gone away either?
Patient: Right, yeah exactly.
Doctor: You never had anything like that before and you have been, it sounds like experiencing some stress in your life, it definitely can play into that as well. OK, is there anything else that you wanted to to tell me about that I didn't ask you today?
Patient: Uh, no, I think that's um, yeah, I think that's all that I wanted to talk about today.</x:t>
  </x:si>
  <x:si>
    <x:t xml:space="preserve">Uh, no, I think that's um, yeah, I think that's all that I wanted to talk about today.</x:t>
  </x:si>
  <x:si>
    <x:t xml:space="preserve">OK, so what I'm going to do is bring all this information to your family doctor and we can come back together and talk to you about the next steps.</x:t>
  </x:si>
  <x:si>
    <x:t xml:space="preserve">Doctor: It sounds like that you're experiencing some chest pain.
Patient: Yeah, so this chest pain has just been coming on for the last couple of weeks now.
Doctor: OK, uhm. So 2 weeks, and can you tell me kind of where you're feeling that pain?
Patient: Um yeah, I'm I'm just feeling this chest discomfort, sort of over on the left side.
Doctor: The left side, OK. Does does it stay just in one spot or does it kind of spread anywhere else?
Patient: No, I don't really feel it anywhere else. Yeah, I just feel it in that one spot on the left side.
Doctor: OK, does it feel dull and achy, or does it feel more sharp?
Patient: It feels pretty sharp.
Doctor: OK, and is it constant like on all the time, or do you feel like it kind of comes and goes?
Patient: It comes and goes. I would say I it might last for um 20-30 minutes at a time and then it goes away.
Doctor: OK, and over the last two weeks since you said it started, has it gotten any worse?
Patient: Uh, no. It's been about the same.
Doctor: About the same, OK, and has it gotten more frequent, these like 20 to 30 minute episodes?
Patient: No, it's happened about two or three times during the 2 weeks.
Doctor: And if you were to rate it on a scale of zero to 10, zero being no pain and 10 being like the worst pain you've ever felt, where would it fall?
Patient: I would say a 4 out of 10.
Doctor: OK. Uh, can you think of anything that that you've done differently recently that could have brought it on or is there any kind of common factor between the times that you had the pain?
Patient: Um,  I don't know I've separated from my husband 2 two years ago which has been really stressful but other than that I mean I can't really think of any changes to my health or anything like that recently.
Doctor: OK, but do you feel like you have been more stressed out in general?
Patient: Uh, yeah the last couple of years have been a lot more stressful because of those issues in my personal life.
Doctor: OK, I'm sorry to hear that, but I'm glad that you're coming in and we can hopefully get to the bottom of this. Not that I think that's necessarily the source of your pain, and we definitely want to look into everything, but it is really helpful to know that. So when you've had these episodes, have you taken anything to help with the pain or done anything that's that you felt it made it go away?
Patient: Uhm, I've tried some Advil, some Tylenol and actually some Tums as well, and it hasn't really helped.
Doctor: OK, do you think it's worse when you're moving around, if you're if you're kind of doing more exercise, or is it kind of just the same no matter what you're doing when you get the episodes?
Patient: Oh, it actually I I feel like it happens most of the time when I'm either at work or or driving.
Doctor: OK. OK, and before this two week period, have you ever had anything like this before?
Patient: No, I haven't had anything like this happen before.
Doctor: Do you have any chronic conditions that you see your family doctor for?
Patient: No, previously healthy.
Doctor: And just jumping back to these pain episodes when you have them, do you experience anything else? Do you get any nausea or vomiting?
Patient: No.
Doctor: OK, do you get any, do you have any difficulty breathing during these times?
Patient: No, I haven't.
Doctor: OK, and have you noticed any fevers?
Patient: Uh, no, no fevers.
Doctor: OK, have you been in contact with anyone that's been sick recently?
Patient: Uhm, no, I haven't.
Doctor: And have you traveled anywhere outside of Canada?
Patient: No, I've been home.
Doctor: OK so you have, you said you have been previously healthy, nothing that you've been seeing your family doctor for on a regular basis. Do you take any medications?
Patient: Uhm, I do not, no medications, just the Tylenol and Advil I tried for the pain.
Doctor: OK, do you have any allergies?
Patient: No allergies.
Doctor: And is there any history of heart problems in your family?
Patient: Yeah, my father had a heart attack when he was 60 just last year and it's actually one of the reasons what concerns me about the chest pain that I thought I was having.
Doctor: For sure, it always feels very concerning when when you have these these symptoms and that and you know people in your life that have had issues like similar issues in the past. I don't know that this is related to that. I I personally don't think so at this point, but we're definitely going to do everything to look into it and and rule out something that would be scary like that. I'm going to ask you few more questions about your lifestyle in general. Do you smoke cigarettes?
Patient: Yeah, I smoke about half a pack to a pack per day. I've been trying to quit and I was smoking more one pack per day, but so it is down a little bit, but, It's still something I'm trying to work on.
Doctor: Congratulations, that's a really tough thing to do so, good for you. That's that's really exciting. Step in the right direction, right? Do you drink alcohol?
Patient: Um, I do, but, uh, I'll have maybe one or two glasses of wine on the weekend.
Doctor: Do you use any other substances?
Patient: Uh no.
Doctor: I know that you said you don't see your family doctor for anything regularly, but I just want to check a couple of specific things like have you ever been told you have high blood pressure?
Patient: No, I've never been told I've I've had high blood pressure.
Doctor: And have you ever been told you have like high cholesterol?
Patient: I haven't, but I've actually never been tested either.
Doctor: OK, and do you exercise regularly?
Patient: Yeah, actually, I'll either do some running or cycling, probably three or four days per week and I haven't had any chest pain or or problems exercising.
Doctor: OK, that's good to hear. And have you ever had problems with heartburn?
Patient: Uh. I don't think so, no.
Doctor: OK. OK, so just to kind of summarize what we've talked about, over the last two weeks, you started having these 20 to 30 minute episodes of chest pain that's on the left side, it feels more sharp, is that correct?
Patient: Yeah.
Doctor: And it's kind of constant when it comes on, there's nothing really that makes it better or worse, it just kind of goes away on its own after half an hour or so, it has kind of stayed the same over over the last two weeks, hasn't really gotten worse or better, it hasn't gone away either?
Patient: Right, yeah exactly.
Doctor: You never had anything like that before and you have been, it sounds like experiencing some stress in your life, it definitely can play into that as well. OK, is there anything else that you wanted to to tell me about that I didn't ask you today?
Patient: Uh, no, I think that's um, yeah, I think that's all that I wanted to talk about today.</x:t>
  </x:si>
  <x:si>
    <x:t xml:space="preserve">V039</x:t>
  </x:si>
  <x:si>
    <x:t xml:space="preserve">Doctor: So I understand you removed insects from your leg earlier today?
Patient: Yes I did, it was uh it was behind my left uh knee kind of in like the joint behind where it bends. Um it was stuck pretty good, it's still kind of red and tender there. I noticed it because the back of my knee was starting to just feel a bit sore, um not the joint itself, but just kind of the skin, the whole area back there. Um and I found this tick, I brought I brought it in with me if you wanted to have a look at it, um it's in like this little plastic container, uh and I don't really know when I got it. I was hiking on Friday um and then Saturday I was out in my garden, I hope they're not around my house, I hope that it was from hiking um and not gardening, but uh I did spend a lot of time outside on Saturday as well.
Doctor: OK, so sounds like it's been a little bit of time since you were last outdoors to when you first noticed it?
Patient: Yeah.</x:t>
  </x:si>
  <x:si>
    <x:t xml:space="preserve">OK, so when you picked it off the tick, obviously you have it for me, is it quite swollen or engorged?</x:t>
  </x:si>
  <x:si>
    <x:t xml:space="preserve">V040</x:t>
  </x:si>
  <x:si>
    <x:t xml:space="preserve">[...earlier consultation omitted...]
Doctor: OK, and so uh, when, where is this painting located exactly?
Patient: So it's just in the upper right corner of my abdomen, right below where the lungs are, and it, yeah, it's just I have this severe pain that's going on.
Doctor: OK, and how long is it been going on for?
Patient: So it's been going on for the last few days and it got worse today.
Doctor: OK, and how long is it been since it's like got got worse, has this been a few hours or or how long is that been?
Patient: So I would say it got worse, just three or four hours ago before I came to the Emergency Department.</x:t>
  </x:si>
  <x:si>
    <x:t xml:space="preserve">So I would say it got worse, just three or four hours ago before I came to the Emergency Department.</x:t>
  </x:si>
  <x:si>
    <x:t xml:space="preserve">Can you describe what the pain feels like—sharp, cramping, burning, or pressure—and does it spread anywhere, such as to your back or right shoulder?</x:t>
  </x:si>
  <x:si>
    <x:t xml:space="preserve">Doctor: I was wondering if you could tell me a little bit about what brought you in to the Emergency Department today?
Patient: Yeah, so nice to meet you. I've been having this pain right in my abdomen. It's kind of like in the upper right area.
Doctor: OK, and so uh, when, where is this painting located exactly?
Patient: So it's just in the upper right corner of my abdomen, right below where the lungs are, and it, yeah, it's just I have this severe pain that's going on.
Doctor: OK, and how long is it been going on for?
Patient: So it's been going on for the last few days and it got worse today.
Doctor: OK, and how long is it been since it's like got got worse, has this been a few hours or or how long is that been?
Patient: So I would say it got worse, just three or four hours ago before I came to the Emergency Department.</x:t>
  </x:si>
  <x:si>
    <x:t xml:space="preserve">V041</x:t>
  </x:si>
  <x:si>
    <x:t xml:space="preserve">[...earlier consultation omitted...]
Doctor: No, okay. Uh, do you see any deformities, atrophy, or skin changes in your right compared to your left arm or hand?
Patient: No, they look pretty similar to me.
Doctor: Okay. Alright, and then I'm gonna get you to press down on certain areas of your right arm. So you can start with the back of your elbow. Does that hurt?
Patient: Uh, just like right on the elbow, it doesn't hurt, but when I go on the outside part, it does hurt on the back.
Doctor: Okay, so like the lateral aspect of your elbow?
Patient: Yeah, it's like sore if I press down.</x:t>
  </x:si>
  <x:si>
    <x:t xml:space="preserve">Yeah, it's like sore if I press down.</x:t>
  </x:si>
  <x:si>
    <x:t xml:space="preserve">I'm going to get you to do some range of motion exercises with your right arm.</x:t>
  </x:si>
  <x:si>
    <x:t xml:space="preserve">Doctor: What brings you in?
Patient: I've just been having uh, this pain in my um right, right elbow, and it's just been getting worse over the last few days. I started having it around three days ago. Um, and it's just been getting worse with any kind of gripping motion or, yeah, so it's, it's been getting worse.
Doctor: Okay, so you said it started three days ago. Um, has it been persistent since, or has it been like on and off?
Patient: It's been pretty persistent, um, but it's mainly when I'm uh, doing some activities or lifting anything. Um, and yes, I've just been trying to rest it mostly.
Doctor: Okay, okay, that's good. And um, you said it's worse with activity and better with rest. Have you tried anything else for it?
Patient: Um, I've tried some Advil, it, it seemed to help a little bit, but uh, it just comes back.
Doctor: Okay, um, and if you were to describe the quality of this pain, would you say it's sharp, burning, throbbing, achy?
Patient: It's more um, like if I don't extend my wrist, it's kind of like achy, but then if I extend my wrist, I feel like a sharp pain at um, on the um, just on the outside of my elbow.
Doctor: Okay, alright. Um alright, and then um, in terms of severity, 1 to 10, 10 being the worst pain you've ever felt, how bad is the pain?
Patient: Um, probably like a 6 or 7.
Doctor: Okay. Alright, um, and have you ever experienced this type of pain before?
Patient: No, I, I, I've never experienced any kind of pain there at least.
Doctor: Okay. Um, how about um, in terms of like timeline, is it getting worse?
Patient: Um, just over the past three days, I feel like it's, I have tried not to use it that much. Uh, like when I was at work, I have to use like tools a lot um, and I noticed that when I was using a screwdriver, like it, it hurt a lot. So it hasn't been getting worse, but if I try to do anything at work, it definitely hurts a lot more.
Doctor: Okay, um, alright. And then have you noticed any numbness or tingling?
Patient: Um, no, no, nothing like that.
Doctor: No, okay. How about um, pain elsewhere on your body?
Patient: Sorry, what was that?
Doctor: Pain elsewhere on your body?
Patient: Oh no, no pain elsewhere.
Doctor: Okay, um, and have you noticed any muscle weakness?
Patient: Uh, no.
Doctor: No. Any headaches?
Patient: No.
Doctor: Dizziness?
Patient: No.
Doctor: Uh, weight loss?
Patient: No.
Doctor: Fevers or chills?
Patient: No.
Doctor: Rashes?
Patient: No.
Doctor: Uh, changes in your vision, hearing, smell, or taste?
Patient: No.
Doctor: Uh, coughing, shortness of breath, or wheezing?
Patient: No.
Doctor: Chest pain or heart palpitations?
Patient: No.
Doctor: Uh, changes in your bowel movements?
Patient: No.
Doctor: Nausea or vomiting?
Patient: No.
Doctor: Changes in your voiding?
Patient: No.
Doctor: Okay, and are you otherwise healthy? Do you have any longstanding medical conditions?
Patient: Yeah no, I've been healthy, uh, no other issues in my Life.
Doctor: Okay, that's good. Um, how about, um, medications, are you on any?
Patient: No, no medications. I've just been taking some Advil for this pain.
Doctor: Okay, I see. And how about immunizations? Are you up-to-date?
Patient: Yeah.
Doctor: Do you have any allergies?
Patient: Uh, no.
Doctor: Family history of any musculoskeletal issues?
Patient: No, just uh, I guess my dad, he's, he's getting some knee pain and hip pain now, starting now. But like that's about it.
Doctor: How old is he?
Patient: My dad, he's 60.
Doctor: Okay, and any lung or heart conditions?
Patient: No.
Doctor: Autoimmmune condition?
Patient: Uh, not that I know of.
Doctor: Okay, and how about cancers?
Patient: Um, I think my aunt on my mother's side, um, she, she had, uh, uterine cancer.
Doctor: Okay, I see, alright. Um any allergies, or sorry, you answered that. Do you, do you smoke?
Patient: Uh, no.
Doctor: No. Um, do you consume any marijuana?
Patient: Uh, no.
Doctor: Do you drink alcohol?
Patient: Um, just, like maybe some wine on uh, wine, beer every couple days.
Doctor: Okay, um, and where do you live right now? And who do you live with?
Patient: Um, I live with my wife and uh, four year old daughter.
Doctor: Okay. Um, any concerns for STIs?
Patient: No.
Doctor: Any sick contacts recently?
Patient: No.
Doctor: Have you traveled anywhere recently?
Patient: No.
Doctor: Okay, well um, let's move on to the physical exam part of this interview then. Um, so I'm going to get you to look at both your uh, arms and hands and you let me know if you see any redness or swelling in uh, your right arm compared to your left.
Patient: Okay. Um, so like, with movement?
Doctor: Uh no, uh, just on inspection, do you see any redness or swelling?
Patient: Um, no, I don't really see anything that's too different, no.
Doctor: No, okay. Uh, do you see any deformities, atrophy, or skin changes in your right compared to your left arm or hand?
Patient: No, they look pretty similar to me.
Doctor: Okay. Alright, and then I'm gonna get you to press down on certain areas of your right arm. So you can start with the back of your elbow. Does that hurt?
Patient: Uh, just like right on the elbow, it doesn't hurt, but when I go on the outside part, it does hurt on the back.
Doctor: Okay, so like the lateral aspect of your elbow?
Patient: Yeah, it's like sore if I press down.</x:t>
  </x:si>
  <x:si>
    <x:t xml:space="preserve">V042</x:t>
  </x:si>
  <x:si>
    <x:t xml:space="preserve">[...earlier consultation omitted...]
Doctor: OK um. And I was wondering if you had any allergies to medications?
Patient: No, not that I know of.
Doctor: Alright, and have you been in the hospital recently?
Patient: No.
Doctor: Alright, so when was the last time that you had antibiotics?
Patient: I would say like six months ago.</x:t>
  </x:si>
  <x:si>
    <x:t xml:space="preserve">I would say like six months ago.</x:t>
  </x:si>
  <x:si>
    <x:t xml:space="preserve">OK, and have you had any surgeries in the past?</x:t>
  </x:si>
  <x:si>
    <x:t xml:space="preserve">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x:t>
  </x:si>
  <x:si>
    <x:t xml:space="preserve">V043</x:t>
  </x:si>
  <x:si>
    <x:t xml:space="preserve">[...earlier consultation omitted...]
Doctor: OK. And do you live by yourself or do you live with anyone else?
Patient: Just by myself.
Doctor: OK. Any new changes to your house uhm, any new carpets or anything like that? Or have you moved into a new new place recently?
Patient: No.
Doctor: OK, do you use any recreational drugs like marijuana?
Patient: No, I smoked when I was younger, but not anymore.</x:t>
  </x:si>
  <x:si>
    <x:t xml:space="preserve">No, I smoked when I was younger, but not anymore.</x:t>
  </x:si>
  <x:si>
    <x:t xml:space="preserve">OK. And when you were younger, how much did you smoke and for how long?</x:t>
  </x:si>
  <x:si>
    <x:t xml:space="preserve">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
Doctor: OK. And uh, has it been constant coughing? Or does it come and go over the last eight months?
Patient: Um, it comes and goes, but there, there it's always like I have a tickle in my throat or something.
Doctor: OK, and when it first started, had anything changed in your life? Uh, had you move to a new place or started smoking or anything like that?
Patient: No.
Doctor: No. OK. Is there anything you do that makes the coughing or shortness of breath worse?
Patient: Um, I guess walking.
Doctor: Walking? Is there anything that makes it better at all?
Patient: Just resting.
Doctor: Just resting, OK. How much can you walk or run until you feel the coughing or shortness of breath?
Patient: About like 200 meters.
Doctor: OK. And has this ever happened to you before the eight months?
Patient: No. Actually, I get wheezy because I have asthma, but it doesn't, it's not as bad as this.
Doctor: OK. And, um how often are you coughing, are you coughing throughout the day? Or is it more so during the day and then or more at night?
Patient: Uh, it's just kind of always there, um throughout the day.
Doctor: OK. And do you have any other symptoms besides the difficulty breathing and the cough? Do you have a sore throat, runny nose, dizziness, anything like that?
Patient: No.
Doctor: OK, so just the difficulty breathing and the cough?
Patient: Yeah.
Doctor: Do you get any chest pain at all?
Patient: No chest pain.
Doctor: Great, have you traveled anywhere outside of the country recently?
Patient: Uh, no, no.
Doctor: Any headaches, nausea or vomiting?
Patient: No.
Doctor: Any fever, chills or night sweats?
Patient: No.
Doctor: Do you feel increasingly fatigued throughout the day?
Patient: Yeah, I guess coughing a lot makes me tired.
Doctor: OK, do you ever feel that your heart is racing or you have any kind of chest pain?
Patient: No.
Doctor: Have you noticed any issues urinating?
Patient: No.
Doctor: Any changes in your bowel movements, any constipation or diarrhea?
Patient: No.
Doctor: Any issues with your sleep or appetite?
Patient: Uh, no.
Doctor: Any significant changes in your weight?
Patient: No.
Doctor: Have you had any recent infections that you know of?
Patient: Not that I know of.
Doctor: Any antibiotics that you've had to use for any infections?
Patient: No.
Doctor: Um, do you think you have had any exposure to tuberculosis in the past?
Patient: No.
Doctor: And do you have exposure to fumes or dust or animals or pets in your work or home environment?
Patient: I have a bird.
Doctor: A bird? And when did you get the bird?
Patient: Like five years ago.
Doctor: OK, but no issues before the eight months?
Patient: No.
Doctor: OK. In terms of your overall health, do you have any past medical conditions? You mentioned asthma, but anything else like diabetes, high blood pressure?
Patient: I have type 2 diabetes and high blood pressure.
Doctor: OK. And or do you take any medications for those conditions?
Patient: No, it's just being controlled by diet.
Doctor: OK, any medications for any other reasons?
Patient: I take some vitamin D tablets.
Doctor: OK, any allergies, environmental or to medications?
Patient: No.
Doctor: OK, have you ever been hospitalized?
Patient: No.
Doctor: Any ill contacts near you at home or work?
Patient: No.
Doctor: Any previous surgeries?
Patient: No previous surgeries.
Doctor: OK, do you have any family history of asthma or any other lung condition or any cancers?
Patient: No lung conditions or cancers.
Doctor: OK. And currently, do you work?
Patient: I do.
Doctor: And where do you work?
Patient: I work as an accountant.
Doctor: OK. And do you currently live in an apartment or a house?
Patient: In an apartment.
Doctor: OK. And do you live by yourself or do you live with anyone else?
Patient: Just by myself.
Doctor: OK. Any new changes to your house uhm, any new carpets or anything like that? Or have you moved into a new new place recently?
Patient: No.
Doctor: OK, do you use any recreational drugs like marijuana?
Patient: No, I smoked when I was younger, but not anymore.</x:t>
  </x:si>
  <x:si>
    <x:t xml:space="preserve">V044</x:t>
  </x:si>
  <x:si>
    <x:t xml:space="preserve">[...earlier consultation omitted...]
Doctor: Okay, anything that you've tried that has helped or made your pain worse?
Patient: No, I haven't, I haven't taken anything yet, I just uh, like basically came right from practice to the, to the hospital.
Doctor: Okay, um, have you had any kind of fevers or chills?
Patient: No.
Doctor: Any skin changes, like rashes?
Patient: No, I haven't had any rashes.</x:t>
  </x:si>
  <x:si>
    <x:t xml:space="preserve">No, I haven't had any rashes.</x:t>
  </x:si>
  <x:si>
    <x:t xml:space="preserve">Okay, any weakness in your upper or lower extremities, besides like the area that's affected?</x:t>
  </x:si>
  <x:si>
    <x:t xml:space="preserve">Doctor: What brings you here today?
Patient: I just had uh, well, it was just uh, I came from football practice I, uh, just felt like somebody fell on me while, like while I was on the ground and it's like, I've had this shoulder pain immediately afterwards and I can see a, like lump, um, kind of pointing out like in my skin here on my, on my, um, clavicle or shoulder bone.
Doctor: Okay, is it the right side or the left side?
Patient: Uh, it's the right side.
Doctor: The right side, okay. Um, okay, and how long ago did this happen?
Patient: It happened about, just a couple of hours ago. Yeah, just about 2 hours ago.
Doctor: Okay, um. Um, did someone, did someone fall onto your side? Okay, uh, so, your main, are you having mainly pain in that, in that area, or is it going to other places?
Patient: It's mostly just the pain like right in that area. I'm not feeling it anywhere else.
Doctor: Okay, and um, what kind of pain are you feeling? Is it sharp, stabbing, or is it aching?
Patient: It's really sharp. It feels like I'm, I'm getting stabbed in the shoulder.
Doctor: Okay, I see, and on a scale of 0 to 10, 10 being the worst pain you've felt in your life, how much would you rate it?
Patient: Uh, this is like a 10. It hurts really bad.
Doctor: Okay, and um, are able to do any movements, or are you just kind of holding your arm up with your other other arm?
Patient: I, yeah I've just been holding my arm up by, uh, I kind of made a sling out of, yeah, like the coaches helped make a sling out of one of the, uh, what we, like a shirt or something like that at the practice. And so I've been just kind of holding my arm against my chest with my elbow flexed. I haven't really moved it at all.
Doctor: I see, okay. Um, and if you were to describe just what it looks like right now, does your shoulder kind of seem like it's sagging?
Patient: Yeah it does.
Doctor: Okay, and do you notice any point near your shoulder like clavicle area that has any bruising, swelling looks, like red? Anything like that?
Patient: Um, like maybe a little bit of bruising and swelling like over the area where I can see like my, my skin pointing up, but um, yeah, that's the only area.
Doctor: Okay, I see. Okay. Any other symptoms, like any pain in any other joints, muscles?
Patient: No, just the pain right there.
Doctor: Okay. Alright um, and uh, other than that, have you previously had any popped joints before?
Patient: Uh, I, no, I haven't.
Doctor: Okay, and no other trauma or anything in the same region?
Patient: No, I haven't had any pains there before or anything like that.
Doctor: Okay, I see. Okay, um and have you been diagnosed with any medical conditions in the past?
Patient: Uh, no I haven't.
Doctor: Okay, alright, and did you hurt yourself anywhere else? Like did you hurt your head at all? Um, suffer any loss of consciousness or anything like that?
Patient: No, no, I, I didn't. I was kind of just like laying on my side and they fell like on my left shoulder and I, I just got squished.
Doctor: Okay, and did it have any impact on your chest like you do you feel short of breath or anything like that?
Patient: No shortness of breath, kind of knocked the wind out of me at at first, but I'm okay now.
Doctor: Okay, I see, that's good. Um, okay, and other than uh, so no medical conditions? Do you take any medications at all?
Patient: Um, yeah, I'll take like uh, just some allergy medication every once in a while. When it's like, just seasonal allergies, I think to just some environmental triggers is all.
Doctor: Okay, and and do you have any allergies to any medications at all?
Patient: Uh, no, I don't believe so.
Doctor: Okay, anything that you've tried that has helped or made your pain worse?
Patient: No, I haven't, I haven't taken anything yet, I just uh, like basically came right from practice to the, to the hospital.
Doctor: Okay, um, have you had any kind of fevers or chills?
Patient: No.
Doctor: Any skin changes, like rashes?
Patient: No, I haven't had any rashes.</x:t>
  </x:si>
  <x:si>
    <x:t xml:space="preserve">V045</x:t>
  </x:si>
  <x:si>
    <x:t xml:space="preserve">[...earlier consultation omitted...]
Doctor: Three days ago, OK, and where exactly in your chest do you feel it?
Patient: It's kind of right here, right over my heart I think, that's where it's the worst.
Doctor: OK, and is it, what kind of pain is it? Is it more like a dull pressure pain, or is it a sharp pain? How would you describe it?
Patient: I would say it's a sharp pain.
Doctor: A sharp pain, OK. Um, so it started three days ago, has it been coming and going or has it been constant?
Patient: It just lasts for a few seconds and then it goes away.</x:t>
  </x:si>
  <x:si>
    <x:t xml:space="preserve">It just lasts for a few seconds and then it goes away.</x:t>
  </x:si>
  <x:si>
    <x:t xml:space="preserve">OK, does the pain come on when you're doing any activities or When does the pain usually come on?</x:t>
  </x:si>
  <x:si>
    <x:t xml:space="preserve">Doctor: What brings you here today?
Patient: I'm just having this really sharp pain in my chest and I'm scared. I think I'm having a heart attack.
Doctor: Oh wow, yeah um that must be really scary. When did this, when did this pain start?
Patient: So about 3 days ago.
Doctor: Three days ago, OK, and where exactly in your chest do you feel it?
Patient: It's kind of right here, right over my heart I think, that's where it's the worst.
Doctor: OK, and is it, what kind of pain is it? Is it more like a dull pressure pain, or is it a sharp pain? How would you describe it?
Patient: I would say it's a sharp pain.
Doctor: A sharp pain, OK. Um, so it started three days ago, has it been coming and going or has it been constant?
Patient: It just lasts for a few seconds and then it goes away.</x:t>
  </x:si>
  <x:si>
    <x:t xml:space="preserve">V046</x:t>
  </x:si>
  <x:si>
    <x:t xml:space="preserve">[...earlier consultation omitted...]
Doctor: OK. And have you had any concerns with eating disorders in the past?
Patient: No.
Doctor: Alright. And then you mentioned, even diagnosed with depression, if you had, are you have you been diagnosed with any other medical conditions?
Patient: No.
Doctor: OK, are you on any medications right now?
Patient: No, I was doing pretty well. I used to have these episodes of depression when I was younger as a teenager and they kind of went away. I was on meds at that time, but I think I think it's coming back now.</x:t>
  </x:si>
  <x:si>
    <x:t xml:space="preserve">No, I was doing pretty well. I used to have these episodes of depression when I was younger as a teenager and they kind of went away. I was on meds at that time, but I think I think it's coming back now.</x:t>
  </x:si>
  <x:si>
    <x:t xml:space="preserve">OK. And what medications were you on at that time?</x:t>
  </x:si>
  <x:si>
    <x:t xml:space="preserve">Doctor: How may I help you?
Patient: Hi I just want to talk about these, these times when I feel like I'm just I'm suffocating and I just can't breathe. It's pretty scary and I don't know what's going on.
Doctor: Yeah, certainly, um, feeling short of breath like that can be quite scary for sure. When, when do these episodes kind of happen? Are they spontaneous? Or can you think of things that you're doing when they when they come on.
Patient: Uhm? I, I don't know, it's just like. Uhm? Sometimes, like before interviews, sometimes just kind of random. Uhm, yeah. I can kind of tell when they're about to come on. Uhm? Yeah, I think. It's mostly like job interviews.
Doctor: OK, have you had many of those recently?
Patient: Job interviews?
Doctor: Yeah.
Patient: I got I got laid off because of the pandemic and now I've been looking for jobs and it's just like it's kind of nerve wracking. But also like I don't know, I'm just worried it could be something else like it's just, yeah, it's like I really just can't breathe, it's so weird.
Doctor: OK, yeah, it's certainly. It sounds like there's been a lot of stress recently. Certainly plenty for with the pandemic as well. And so when you get short of breath, you you said you have this, you could feel that it's coming on and how long does it last for?
Patient: Like 15 minutes 15, 20 minutes.
Doctor: Is there anything you do to help it go away?
Patient: I'll just say go and lie down and close my eyes.
Doctor: OK. And do you get shorter breath if you walk far distances or exert yourself?
Patient: Oh no, no. I go out for a run every single day. Nothing happens at that time.
Doctor: OK. And. Have you had a cough?
Patient: No.
Doctor: Any wheezing?
Patient: No.
Doctor: OK. And have you had any any chest pain?
Patient: Yeah, I kind of feel like this pressure at that time is just like yeah, someone's like pressing my chest inwards, kind of. It's hard to explain.
Doctor: I see do you it is it um like, do you feel it in any one particular spot or?
Patient: No.
Doctor: OK.
Patient: I just feel like my chest is really tight and it's just it's like I can't like expand my lungs.
Doctor: I see and does this last around 15 minutes as well?
Patient: Yeah.
Doctor: OK. And similarly you like going for runs and stuff like that you on't ever get any chest pain?
Patient: No, no, no.
Doctor: OK. And and I know you mentioned you didn't have a cough, but have you brought up any phlegm or brought up any any blood?
Patient: No, no, I have not had a cough.
Doctor: Oh no, OK, I'm sorry.
Patient: That's OK.
Doctor: And have you otherwise been well? Or if you had any infectious symptoms, like a runny or red eyes, runny nose or sore throat?
Patient: No. None of those.
Doctor: Alright, have you had any headaches?
Patient: No.
Doctor: How about any fevers or chills?
Patient: No.
Doctor: Have you had any night sweats?
Patient: No, but I get really sweaty when these episodes happen. Just like yeah, my face is like sweating, and my neck.
Doctor: OK. Yeah, Um, OK, and How is your weight been recently? Any weight gain or loss?
Patient: Yeah, I've gained quite a bit of weight since the pandemic started. Yeah, gained about 10 pounds.
Doctor: OK, any changes to your diet or appetite?
Patient: Oh yeah, I've been eating quite a bit, been baking a lot at home.
Doctor: OK. And, and have you had any abdominal pains?
Patient: No.
Doctor: Any diarrhea?
Patient: Uhm? No.
Doctor: OK. Any nausea or vomiting?
Patient: No.
Doctor: Alright, and any urinary problems like pain or frequency?
Patient: No.
Doctor: Any rashes or skin changes?
Patient: No.
Doctor: And, any muscle aches, body pains or joint pains or swelling?
Patient: Nothing like that, no.
Doctor: OK and how's your energy been?
Patient: Um. Well, I've been feeling a little low. Since I've been laid off just like worried about my finances and I kind of sleep all day. I'm not feeling very energetic.
Doctor: OK. How is your interest in activities been?
Patient: I don't know, I just feel like staying at home and just being in bed all the time.
Doctor: OK, so you're um, have you had a low mood?
Patient: Yeah.
Doctor: Alright and are you sleeping more than usual?
Patient: Yeah.
Doctor: OK, is there anything that you're feeling particularly guilty about right now?
Patient: No.
Doctor: OK. How is your concentration been?
Patient: Uhm, not great.
Doctor: OK. You haven't been able to focus and have you felt like things are moving in slow motion?
Patient: No.
Doctor: Alright, so have you had any thoughts of hurting or harming yourself?
Patient: No.
Doctor: OK. And have you had depression or anxiety in the past?
Patient: Um I've been diagnosed with depression.
Doctor: OK. And have you had panic attacks before?
Patient: No, but do you think that's what's going on?
Doctor: Potentially, it certainly can't rule out. Inorganic cause meaning something going on, otherwise just yet we might need to do some physical exam and some investigations first, but it certainly could be related to that. With all of the stressors that are going on. And so you had a low mood. Have you had any periods in your life where you felt really energetic, like you didn't need any sleep, you're really talkative, you had all the energy in the world.
Patient: I wish, no, I've never really felt that way,
Doctor: OK. And have you had any concerns with eating disorders in the past?
Patient: No.
Doctor: Alright. And then you mentioned, even diagnosed with depression, if you had, are you have you been diagnosed with any other medical conditions?
Patient: No.
Doctor: OK, are you on any medications right now?
Patient: No, I was doing pretty well. I used to have these episodes of depression when I was younger as a teenager and they kind of went away. I was on meds at that time, but I think I think it's coming back now.</x:t>
  </x:si>
  <x:si>
    <x:t xml:space="preserve">V047</x:t>
  </x:si>
  <x:si>
    <x:t xml:space="preserve">[...earlier consultation omitted...]
Doctor: OK, any changes in your bowel movements?
Patient: Um, no.
Doctor: OK, any changes in your urination?
Patient: No.
Doctor: OK, any changes at all in your sleep?
Patient: Uhm, just been, well, I haven't been sleeping as well, waking up all sweaty and the cough is kept me up a little bit too.</x:t>
  </x:si>
  <x:si>
    <x:t xml:space="preserve">Uhm, just been, well, I haven't been sleeping as well, waking up all sweaty and the cough is kept me up a little bit too.</x:t>
  </x:si>
  <x:si>
    <x:t xml:space="preserve">I'm going to order some blood work.</x:t>
  </x:si>
  <x:si>
    <x:t xml:space="preserve">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
Doctor: OK. How often you getting nausea?
Patient: Uh, it's coming after like if I'm having a really big cough, coughing fit I could feel a little nauseous after but it doesn't last very long.
Doctor: OK, are you having any fevers or chills?
Patient: Yeah, I've been having ah, so fevers throughout the day, but feeling really hot, and and really sweaty at night.
Doctor: OK, how often are you getting night sweats?
Patient: Uhm, also a few times this past week, I've what woke up soaked.
Doctor: OK. And have you at all measured when you felt, measured your temperature when you felt like these chills and night sweats?
Patient: No, I haven't measured my temperature yet.
Doctor: OK. Have you noticed at all, uh, any increased fatigue throughout the day?
Patient: Yeah, but I've definitely been more more tired. I haven't been able to concentrate on, umm, on my schoolwork.
Doctor: OK. And, um, have you been having any shortness of breath?
Patient: Just after the, like coughing really, but otherwise, ah, no.
Doctor: Any chest pain?
Patient: No chest pain.
Doctor: Any feeling that your heart is racing?
Patient: No, nothing like that.
Doctor: OK, any swelling in your limbs at all?
Patient: No.
Doctor: Ok. Any loss of sense of taste or smell?
Patient: Uh, no, nothing like that.
Doctor: OK, any changes in your bowel movements?
Patient: Um, no.
Doctor: OK, any changes in your urination?
Patient: No.
Doctor: OK, any changes at all in your sleep?
Patient: Uhm, just been, well, I haven't been sleeping as well, waking up all sweaty and the cough is kept me up a little bit too.</x:t>
  </x:si>
  <x:si>
    <x:t xml:space="preserve">V048</x:t>
  </x:si>
  <x:si>
    <x:t xml:space="preserve">[...earlier consultation omitted...]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x:t>
  </x:si>
  <x:si>
    <x:t xml:space="preserve">No, just, just this week.</x:t>
  </x:si>
  <x:si>
    <x:t xml:space="preserve">I would like to examine your throat.</x:t>
  </x:si>
  <x:si>
    <x:t xml:space="preserve">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x:t>
  </x:si>
  <x:si>
    <x:t xml:space="preserve">V049</x:t>
  </x:si>
  <x:si>
    <x:t xml:space="preserve">[...earlier consultation omitted...]
Doctor: Any aches in your, any muscle aches?
Patient: No.
Doctor: Any numbness or tingling in your arms or feet?
Patient: Nope.
Doctor: Um, okay. Uh, any fevers or chills?
Patient: No, not really. Last week I maybe had a, uh, two nights, I was a bit chilly, but since then I've been fine.</x:t>
  </x:si>
  <x:si>
    <x:t xml:space="preserve">No, not really. Last week I maybe had a, uh, two nights, I was a bit chilly, but since then I've been fine.</x:t>
  </x:si>
  <x:si>
    <x:t xml:space="preserve">Okay. And uh, have you taken your temperature at all?</x:t>
  </x:si>
  <x:si>
    <x:t xml:space="preserve">Doctor: What can I do for you today?
Patient: Hi, uh, so I just came here today uh, I've been having this cough for um, the last two weeks and it just, is not going away. I've also been getting like, just a runny nose for the last couple, I would take the whole week, all of last week.
Doctor: Okay, um, so can you tell me about your cough?
Patient: Yeah.
Doctor: Go on, sorry.
Patient: So, it's more of just like a dry cough. I'm not really bringing anything up.
Doctor: No blood?
Patient: No.
Doctor: Okay, and the runny nose, what, what's the discharge like?
Patient: Uh it's, it's pretty clear. It might be light, but it's not like green or yellow or anything like that.
Doctor: Um, and so you've had this cough for two weeks and the runny nose just started last week. Has the cough improved over the past two weeks?
Patient: Uh, it has, like it was much worse last week, uh, but I just can't get like, it's better now, but it's still lasting much longer than I've had a cough before.
Doctor: Okay. Um, and uh, have you had a headache at all in these past two weeks?
Patient: No, I didn't have a headache, but sometimes I feel a bit congested.
Doctor: And uh, have you had any um, changes in your vision or your like uh, blurry vision, or any redness in your eyes or tearing?
Patient: Uh no, nothing like that.
Doctor: Okay, any um, changes in smell?
Patient: Nope.
Doctor: Okay, any change in uh, taste?
Patient: Uh no, but uh, sorry, for smell, like when I was a bit congested I, I could smell less. I wasn't able to smell too much, but taste has been fine.
Doctor: Alright, and what about uh, sore throat?
Patient: No, no. No, sore throat.
Doctor: Okay. What about any difficulties with breathing?
Patient: Um, no, nothing like that.
Doctor: Any chest pain?
Patient: No.
Doctor: Any palpitations or racing of your heart?
Patient: No.
Doctor: Any pain in your belly?
Patient: No.
Doctor: Nausea or vomiting?
Patient: No, no.
Doctor: Diarrhea or constipation?
Patient: No.
Doctor: Any aches in your, any muscle aches?
Patient: No.
Doctor: Any numbness or tingling in your arms or feet?
Patient: Nope.
Doctor: Um, okay. Uh, any fevers or chills?
Patient: No, not really. Last week I maybe had a, uh, two nights, I was a bit chilly, but since then I've been fine.</x:t>
  </x:si>
  <x:si>
    <x:t xml:space="preserve">V050</x:t>
  </x:si>
  <x:si>
    <x:t xml:space="preserve">[...earlier consultation omitted...]
Doctor: No, any sorry yes that, any issues concentrating on on tasks?
Patient: Um. Yeah, this morning I I guess it's been a little bit more difficult to focus on things, but maybe I was just worried like focusing on the pain in my neck.
Doctor: Yeah, for sure. Any fevers or chills?
Patient: No.
Doctor: Any changes in your weight?
Patient: No, my weight it's been been the same.</x:t>
  </x:si>
  <x:si>
    <x:t xml:space="preserve">No, my weight it's been been the same.</x:t>
  </x:si>
  <x:si>
    <x:t xml:space="preserve">OK, so it sounds like you've got some fairly significant neck pain and stiffness that started after a minor car accident yesterday, which is worse today, particularly with movement, especially looking back. You haven't had any other major symptoms like numbness, tingling, dizziness, or headaches.</x:t>
  </x:si>
  <x:si>
    <x:t xml:space="preserve">Doctor: What brings you in?
Patient: Hi, yesterday I was grocery shopping and, yeah, just in the parking lot somebody bumped into my car and this morning I woke up and my neck is just really painful. It hurt yesterday a little bit, but I mean it was so mild I didn't think much of it. But today it's it's quite a bit worse.
Doctor: OK, so can you tell me how this accident happened? Were you sitting in the passenger seat and the driver? And was the impact from like behind at the back of your car or at the front?
Patient: It was at the back so I was the driver and was just going over a speed bump in the parking lot so slowed down quite a bit and the person behind me must not have, and they bumped into me. There's just some scratches on the bumper. They didn't hit too hard, but I, I guess maybe hard enough.
Doctor: OK, and did the neck pain start immediately after?
Patient: Uh no it's I, like not immediately, yeah, I think it started a bit later on and then worse a bit, a bit today.
Doctor: OK. Alright, and is there pain anywhere else on your body?
Patient: Uh really like my. No, just just really, my neck.
Doctor: OK. OK, and does anything feel broken? Do, are there bruises anywhere? Any obvious signs of trauma?
Patient: No, I can’t, I didn't notice anything like that and I can move my neck around so I don't think any I don’t, I don't think anything is broken. Just hurts a lot.
Doctor: Alright, and is a pain constantly there or does it come and go?
Patient: It kind of comes and goes, it just it's worse with movement. If I just kinda sit still, I don't notice much pain, but if I'm betting my head forward or. Mostly backwards, so I'll get, I'll get pain.
Doctor: OK, and you said this happened yesterday, right?
Patient: Yeah yeah, this happened yesterday afternoon.
Doctor: OK. Um and does anything make this better? Like have you tried ice, say any topicals any positions that that helps with the pain?
Patient: I did try some like Advil last night, but like when I when the pain was coming on and it must've helped me sleep I guess, but I haven't tried any ice or anything like that, just mostly I guess resting.
Doctor: OK so you said the pain is at the back of the neck does it radiate anywhere up into your head or down into your shoulders or lower or upper back?
Patient: Uhm. Maybe a little bit to the upper back, like when I like trap, trapezius, muscle area, or the traps like it if I push on those muscles around that area, I do get a little bit of tenderness.
Doctor: OK, OK, and if you were to describe the quality of this pain, would you say it's sharp, dull, achy, throbbing? Uhm, how would you describe it?
Patient: I would say it's sharp. Yeah, especially if I do any movements like it'll be feels like I mean, it stabbed in the neck.
Doctor: OK, alright, and have you ever had it had pain like this in the past?
Patient: No, this is the first time.
Doctor: OK. And do you feel like it's getting worse, the pain since it started yesterday?
Patient: Yeah, it could be that at first I didn't even have any pain at all. Maybe it was just the adrenaline pumping or whatever, but now I can notice the pain.
Doctor: OK. OK, and 1 to 10, 10 being the worst pain you've ever felt how bad is this pain?
Patient: It would be. I would say probably a 6 or a 7.
Doctor: OK, OK and. Have you had any tingling or numbness?
Patient: No, I haven't had anything like that.
Doctor: OK, any dizziness or fainting spells?
Patient: No.
Doctor: Confusion or memory loss?
Patient: No.
Doctor: Any headaches?
Patient: Um I. No.
Doctor: No OK. And. Is this affecting your sleep at all?
Patient: Oh no, I guess like last night it was a little bit more difficult because I was just I slept I just on my back so that I wasn't moving around as much, so that was a little bit awkward, but I was able to sleep though.
Doctor: OK, I know you said you have some pain with certain movements, but do you find it's hard to move your neck at all?
Patient: Oh, it feels a bit stiff, but like I'm able to move it. But yeah, I feel stiff.
Doctor: OK. Any issues with vision like is it blurry?
Patient: No.
Doctor: No, how about ringing in your ears?
Patient: No.
Doctor: No, any sorry yes that, any issues concentrating on on tasks?
Patient: Um. Yeah, this morning I I guess it's been a little bit more difficult to focus on things, but maybe I was just worried like focusing on the pain in my neck.
Doctor: Yeah, for sure. Any fevers or chills?
Patient: No.
Doctor: Any changes in your weight?
Patient: No, my weight it's been been the same.</x:t>
  </x:si>
  <x:si>
    <x:t xml:space="preserve">V051</x:t>
  </x:si>
  <x:si>
    <x:t xml:space="preserve">[...earlier consultation omitted...]
Doctor: OK, how about any nausea or vomiting?
Patient: No.
Doctor: OK, and um, how is your energy been? Have you experienced any like significant fatigue?
Patient: Um. Not. Well, I mean, I've been doing less stuff because it's harder to breathe like I'm getting kind of like I can't catch my breath. So I guess maybe maybe a little bit like fatigue.
Doctor: I see OK, but feeling fine energy-wise prior to the two 5 days ago?
Patient: Yeah, totally.</x:t>
  </x:si>
  <x:si>
    <x:t xml:space="preserve">Yeah, totally.</x:t>
  </x:si>
  <x:si>
    <x:t xml:space="preserve">OK, and just to clarify, when you say it's harder to breathe, is that more of a shortness of breath, or does it feel like you can't get enough air in?</x:t>
  </x:si>
  <x:si>
    <x:t xml:space="preserve">Doctor: To start, could you tell me a little bit about what brought you in today?
Patient: Really I just don't I I don't feel quite right like I've had this pain in my chest for five days now and I've been just feeling kind of out of breath.
Doctor: Oh OK, um where are you feeling this pain?
Patient: Um, it's it's kind of um. On the left side of my chest and it's just like a tiny. It's like a lingering sharp pain. I don't really feel it anywhere else. It's just kind of there all the time right now. I I've never had anything like this before.
Doctor: OK, so you're not feeling the pain radiate any to any other locations. You're just feeling it sort of in the one spot on the left side?
Patient: Yeah, yeah, exactly.
Doctor: OK, and since this pain started 5 days ago, has it gotten any better, any worse, or stayed the same?
Patient: Like when I when it started I was just I was just like sitting on my couch. Um and now it's harder if I'm, it's worse if I'm walking around, like if I walk just down the street to get the mail. But otherwise it's kind of kind of just there, like I took some Tylenol and Advil, and they maybe take the edge off a little bit, but it's always there. And it's worse when I, when I take a deep breath then I really feel it.
Doctor: OK, so it's worse. Is the pain worse when you're walking as well? Like out to get the mail?
Patient: It's I don't the the pain is, but I I'm not I can't catch my breath when I'm doing that.
Doctor: OK, and how far could you usually walk, or um?
Patient: Oh yeah, usually walk before I go for long walks like every day, like probably like 5 kilometers or something.
Doctor: OK, so prior to this happening you were feeling well?
Patient: Yeah, totally. I've not ever had any problems with my heart or lungs or anything. I thought it was maybe just like a chest infection. But I I don't know anymore.
Doctor: OK, so you've had that, the difficulties breathing and the pain. And have you had any other symptoms?
Patient: Mmm I think it's just those those, the two things that I said.
Doctor: OK, so have you been experiencing any fevers or chills?
Patient: No. Nothing like that.
Doctor: OK, how about any nausea or vomiting?
Patient: No.
Doctor: OK, and um, how is your energy been? Have you experienced any like significant fatigue?
Patient: Um. Not. Well, I mean, I've been doing less stuff because it's harder to breathe like I'm getting kind of like I can't catch my breath. So I guess maybe maybe a little bit like fatigue.
Doctor: I see OK, but feeling fine energy-wise prior to the two 5 days ago?
Patient: Yeah, totally.</x:t>
  </x:si>
  <x:si>
    <x:t xml:space="preserve">V052</x:t>
  </x:si>
  <x:si>
    <x:t xml:space="preserve">[...earlier consultation omitted...]
Doctor: OK, do you drink alcohol?
Patient: Um yeah, I'll have a beer or two on the weekend, so maybe a couple of drinks per week.
Doctor: OK. Um and how about um do uh, sick contacts, have you been in touch with any recently?
Patient: No, I haven't been around anybody who's been sick.
Doctor: OK, um any travel recently?
Patient: Uh just for the drop offs that I that I make um driving, I do have to make some pretty um long hauls uh back and forth um, the, yeah.</x:t>
  </x:si>
  <x:si>
    <x:t xml:space="preserve">Uh just for the drop offs that I that I make um driving, I do have to make some pretty um long hauls uh back and forth um, the, yeah.</x:t>
  </x:si>
  <x:si>
    <x:t xml:space="preserve">OK, so you drive long distances for work.</x:t>
  </x:si>
  <x:si>
    <x:t xml:space="preserve">Doctor: What brings you in?
Patient: I I've had this, uh pain in the right buttock area, it's been really intense, and more recently I'm feeling it like radiate just down my right leg as well.
Doctor: OK, and sorry when did you say it started?
Patient: So um it's been going on uh for, well, it's it's gotten really intense in the last uh like 2 days.
Doctor: OK, and before that, did you have any pain at all or was it just like sudden?
Patient: Yeah, I do have a bit of pain uh down in my uh in in my buttock area. Um but um it's just gotten really uh, it's gotten more painful over these last couple of days.
Doctor: OK. Um and is it a persistent kind of pain? Or does it come and go?
Patient: Um it's uh persistent, it's it it does get worse though, depending on what what I'm doing.
Doctor: OK, what uh when does it get worse?
Patient: Um well it it gets it gets worse with walking, with sitting, um really any like any kinds of movements, like if I just gotta kind of stay still and that's the only thing that really helps it.
Doctor: OK, um have you tried anything for it?
Patient: Uh yeah, I'm just taking some pain medic medications over the counter for these last couple of days um like Advil and Tylenol, but that's it.
Doctor: OK, um and does, is it helping?
Patient: It does, I mean, uh not really, it hasn't really helped much.
Doctor: OK. Um alright, and if you were to describe the quality of the pain, would you say it's sharp, dull, achy, throbby?
Patient: Uh it um, kind of like a sharp pain in the in the buttock and um it it um it's kind of like burning uh down the leg.
Doctor: OK, OK, so a radicular kind of pain then. Um OK, and if you were to rate the severity of your pain 1 to 10, 10 being the worst pain you've ever felt, what would you rate it?
Patient: 8.
Doctor: OK. And does this pain radiate elsewhere, I know you said it starts on your buttocks, kind of goes down your legs, does it go up your back or down into the other leg at all?
Patient: No, I feel it just uh just in the buttock and down the leg.
Doctor: OK, uh have you ever experienced this kind of pain before?
Patient: Uhm I have, yeah um I'm a a truck driver, and so I do a lot of uh a lot of sitting and I've had kind of sciatic pain um in the past.
Doctor: OK, and have you ever had any like trauma or anything that could have triggered this initially um in the past?
Patient: No, I don't think so, I don't, I haven't really done much, just kind of work and um ueah, I haven't had any trauma to the back or anything like that.
Doctor: OK, and are you experiencing any sort of weakness with your legs?
Patient: Uh no no weakness, just um well, yeah, maybe I guess, maybe yeah, maybe a little bit of uh, leg weakness, I've had I've had a little bit of difficulty walking, been limping.
Doctor: Oh I see, OK. OK, and just in your right leg, right?
Patient: Yeah.
Doctor: Any urinary or um stool incontinence?
Patient: No.
Doctor: No, OK. Any sexual dysfunction?
Patient: No, I haven't had anything like that.
Doctor: OK, um any numbness or tingling?
Patient: Yeah, I've I've had some numbness and tingling down the the right leg.
Doctor: OK, how about in the groin area?
Patient: No, it's just kind of down the back of my leg.
Doctor: OK, um alright, and otherwise do you have any other symptoms?
Patient: No, it's just been just been, uh, this pain.
Doctor: OK, alright. Um and I'll just kind of go through some questions with you. Do you have any joint pains or muscle aches elsewhere?
Patient: No.
Doctor: No weight loss?
Patient: No weight loss.
Doctor: Fevers or chills?
Patient: No fevers or chills.
Doctor: Uh rashes?
Patient: No rashes.
Doctor: Changes to your vision, hearing, smell, or taste?
Patient: No.
Doctor: Um are you coughing, having shortness of breath, or wheezing?
Patient: No, I haven't been any, having any symptoms like that.
Doctor: OK, any chest pain, palpitations, uh or dizziness or fainting spells?
Patient: No, nothing like that.
Doctor: Any changes to your bowel movements?
Patient: No diarrhea or constipation.
Doctor: And no bleeding in the stool?
Patient: No blood in the stool.
Doctor: OK. And then how about nausea or vomiting?
Patient: No, I haven't had any nausea or vomiting.
Doctor: OK, changes to your urine?
Patient: Uh no, no changes to the urine.
Doctor: OK, and are you otherwise healthy? Do you have any longstanding medical conditions?
Patient: I do have um high blood pressure and uh high cholesterol and I take medications for those, I take amlodipine and um a statin.
Doctor: OK, do you have any other medical conditions, are are you on any other medications besides those?
Patient: Just a multivitamin.
Doctor: OK, and are you up to date with all your immunizations?
Patient: I am, yes.
Doctor: OK, any allergies?
Patient: Uh no, I don't believe so.
Doctor: No, uh family history of um musculoskeletal or neurological issues?
Patient: Uh no, nothing like that.
Doctor: Uh autoimmune conditions?
Patient: No, nothing like that.
Doctor: Cancers?
Patient: No.
Doctor: No, OK. And do you smoke?
Patient: Um yeah, I smoke uh about um half a pack of cigarettes per day.
Doctor: OK, for how long have you been doing that?
Patient: Uh for uh yeah, about 40 years.
Doctor: 40 years, OK, have you ever thought of quitting?
Patient: I have, yeah, I've cut down over the years, um I used to smoke more, it's just the culture with uh, I don't know everybody's driving a truck and smoking.
Doctor: OK, yeah, that's hard. If you ever need any resources, we have some that we can refer you to.
Patient: Thank you.
Doctor: Yeah, no worries. And do you um consume marijuana?
Patient: No, I don't.
Doctor: OK, how about other recreational drugs?
Patient: Uh nope, nothing like that before.
Doctor: OK, do you drink alcohol?
Patient: Um yeah, I'll have a beer or two on the weekend, so maybe a couple of drinks per week.
Doctor: OK. Um and how about um do uh, sick contacts, have you been in touch with any recently?
Patient: No, I haven't been around anybody who's been sick.
Doctor: OK, um any travel recently?
Patient: Uh just for the drop offs that I that I make um driving, I do have to make some pretty um long hauls uh back and forth um, the, yeah.</x:t>
  </x:si>
  <x:si>
    <x:t xml:space="preserve">V053</x:t>
  </x:si>
  <x:si>
    <x:t xml:space="preserve">[...earlier consultation omitted...]
Doctor: OK, does the pain uh like radiate anywhere or do you feel it just in that one spot?
Patient: It's just uh it's just in that one spot. It's just this sudden and like like this stabbing sensation um when I'm like taking a breath in. Uhm, actually now that I think about it, it's it's kind of there even when I'm like breathing normal, but it's not as bad. When I take a deep breath it's like really, really bad or when I um yeah, when I like cough or like I'm laughing or something, it just gets really bad.
Doctor: And when did you first notice this pain?
Patient: Kind of um late this morning.
Doctor: OK uh have you tried anything for a for the pain?
Patient: Uh I don't know, it's just I just try not to take deep breaths, I'm just trying to just take a normal breath and try not to talk too much. And yeah, just like not doing anything that worsens the pain.</x:t>
  </x:si>
  <x:si>
    <x:t xml:space="preserve">Uh I don't know, it's just I just try not to take deep breaths, I'm just trying to just take a normal breath and try not to talk too much. And yeah, just like not doing anything that worsens the pain.</x:t>
  </x:si>
  <x:si>
    <x:t xml:space="preserve">OK. And on a scale of one to ten, with one being the least amount of pain and ten being the worst pain you've ever felt, how would you rate your pain right now?</x:t>
  </x:si>
  <x:si>
    <x:t xml:space="preserve">Doctor: How may I help you?
Patient: Hi I um I just developed uh or I guess I just started having difficulties with uh breathing starting this morning. It was just very odd, I was fine yesterday night and then just this morning, I've had a really hard time breathing um and yeah, I thought I should come in and get it checked out. I don't know what's going on.
Doctor: Yeah, certainly, and so uh like did this shortness of breath wake you uh like did you wake up, um like just like uh to kind of sit up to catch your breath, um or when did the shortness of breath start?
Patient: Um it was kind of after I woke up and I was sort of, um just walking around that I I noticed that I was feeling short of breath just walking around, which was so weird. You know that that doesn't really happen to me.
Doctor: OK. Um and with this, with the shortness of breath, have you had had a cough?
Patient: No.
Doctor: OK, and um have you had any wheeze?
Patient: Um no.
Doctor: OK, and have you been having any uh any chest pain?
Patient: Yeah, I kind of, I guess it just hurts a little bit when I take a, when I breathe in.
Doctor: OK is is this pain when you take a deep breath in?
Patient: Yeah, I guess so, yeah.
Doctor: And where do you feel the pain?
Patient: Um it's kind of on my um right side.
Doctor: OK, does the pain uh like radiate anywhere or do you feel it just in that one spot?
Patient: It's just uh it's just in that one spot. It's just this sudden and like like this stabbing sensation um when I'm like taking a breath in. Uhm, actually now that I think about it, it's it's kind of there even when I'm like breathing normal, but it's not as bad. When I take a deep breath it's like really, really bad or when I um yeah, when I like cough or like I'm laughing or something, it just gets really bad.
Doctor: And when did you first notice this pain?
Patient: Kind of um late this morning.
Doctor: OK uh have you tried anything for a for the pain?
Patient: Uh I don't know, it's just I just try not to take deep breaths, I'm just trying to just take a normal breath and try not to talk too much. And yeah, just like not doing anything that worsens the pain.</x:t>
  </x:si>
  <x:si>
    <x:t xml:space="preserve">V054</x:t>
  </x:si>
  <x:si>
    <x:t xml:space="preserve">[...earlier consultation omitted...]
Doctor: Yeah.
Patient: I got I got laid off because of the pandemic and now I've been looking for jobs and it's just like it's kind of nerve wracking. But also like I don't know, I'm just worried it could be something else like it's just, yeah, it's like I really just can't breathe, it's so weird.
Doctor: OK, yeah, it's certainly. It sounds like there's been a lot of stress recently. Certainly plenty for with the pandemic as well. And so when you get short of breath, you you said you have this, you could feel that it's coming on and how long does it last for?
Patient: Like 15 minutes 15, 20 minutes.
Doctor: Is there anything you do to help it go away?
Patient: I'll just say go and lie down and close my eyes.</x:t>
  </x:si>
  <x:si>
    <x:t xml:space="preserve">I'll just say go and lie down and close my eyes.</x:t>
  </x:si>
  <x:si>
    <x:t xml:space="preserve">OK. And do you get shorter breath if you walk far distances or exert yourself?</x:t>
  </x:si>
  <x:si>
    <x:t xml:space="preserve">Doctor: How may I help you?
Patient: Hi I just want to talk about these, these times when I feel like I'm just I'm suffocating and I just can't breathe. It's pretty scary and I don't know what's going on.
Doctor: Yeah, certainly, um, feeling short of breath like that can be quite scary for sure. When, when do these episodes kind of happen? Are they spontaneous? Or can you think of things that you're doing when they when they come on.
Patient: Uhm? I, I don't know, it's just like. Uhm? Sometimes, like before interviews, sometimes just kind of random. Uhm, yeah. I can kind of tell when they're about to come on. Uhm? Yeah, I think. It's mostly like job interviews.
Doctor: OK, have you had many of those recently?
Patient: Job interviews?
Doctor: Yeah.
Patient: I got I got laid off because of the pandemic and now I've been looking for jobs and it's just like it's kind of nerve wracking. But also like I don't know, I'm just worried it could be something else like it's just, yeah, it's like I really just can't breathe, it's so weird.
Doctor: OK, yeah, it's certainly. It sounds like there's been a lot of stress recently. Certainly plenty for with the pandemic as well. And so when you get short of breath, you you said you have this, you could feel that it's coming on and how long does it last for?
Patient: Like 15 minutes 15, 20 minutes.
Doctor: Is there anything you do to help it go away?
Patient: I'll just say go and lie down and close my eyes.</x:t>
  </x:si>
  <x:si>
    <x:t xml:space="preserve">V055</x:t>
  </x:si>
  <x:si>
    <x:t xml:space="preserve">[...earlier consultation omitted...]
Doctor: It's ok. Do you have to wake up at night to take a deep breath? Or do you feel any kind of shortness of breath with laying down at all?
Patient: No, I haven't had any issues like that.
Doctor: OK and do you notice any kind of swelling in your feet, ankles, arms, legs, anything like that?
Patient: No, I haven't.
Doctor: OK, have you been in contact with anyone that's sick recently?
Patient: Uh, I don't I, I mean I see my granddaughter and I might have got a cold from her a few weeks ago, but recently I haven't seen anybody.</x:t>
  </x:si>
  <x:si>
    <x:t xml:space="preserve">Uh, I don't I, I mean I see my granddaughter and I might have got a cold from her a few weeks ago, but recently I haven't seen anybody.</x:t>
  </x:si>
  <x:si>
    <x:t xml:space="preserve">I'm going to order some labs for you.</x:t>
  </x:si>
  <x:si>
    <x:t xml:space="preserve">Doctor: Can you tell me what brings you in here today?
Patient: So I've had this, uh, this cough that it started two days ago and it's been getting worse. I've been bringing up this rust colored sputum.
Doctor: OK, and so that's been going on for a few days?
Patient: Yeah, yeah about two days.
Doctor: OK, and how often are you coughing?
Patient: It's it's happening all day. Really, throughout the day and really any type of exertion or or movement, I'm getting short of breath and it's triggering a cough.
Doctor: OK, and the shortness of breath, is it just with the exertion or it can, is it happening at rest? How are you feeling right now?
Patient: Yeah, even right now it feels like I'm not able to get, I don't know, a full breath, it just feels like it's more difficult to to breathe.
Doctor: OK, have you felt any kind of dizziness or fainting episodes?
Patient: No, I haven't.
Doctor: OK. Have you been feeling any chest pain at all?
Patient: Uh, no, I, I I haven't had any chest pain.
Doctor: OK, and so with your coughing you're producing the rust colored sputum, but how much would you say you're producing?
Patient: Uh I would say, yeah, maybe three or four teaspoons every every couple hours.
Doctor: OK, are you producing any blood like in your cough or sputum at all?
Patient: No, it wasn't really red, it's kinda orange.
Doctor: Orange, OK. Any greenish or yellow material?
Patient: No, I haven't noticed anything like that.
Doctor: OK. Any fevers or chills?
Patient: Yeah, I have had, I've had both of those. I've had a I I checked my temperature this morning and it was 38.2 and I was pretty chilly last night.
Doctor: OK. Uhm, and before these symptoms started, were you having any similar symptoms at all before?
Patient: Ah, no, I mean a few weeks ago, probably like a yeah a couple of weeks ago I had a runny nose. And and sore throat for a couple of days. It went away on its own though.
Doctor: OK. Uhm, any anything that makes your symptoms better or worse that you've tried?
Patient: I did try some over the counter cold medicine. It, I think it might have helped me sleep last night, but didn't really do a whole lot.
Doctor: OK, does your shortness of breath improve with any positions or does it improve when you're not exerting yourself?
Patient: Uh, not really. It's kind of always there,
Doctor: It's ok. Do you have to wake up at night to take a deep breath? Or do you feel any kind of shortness of breath with laying down at all?
Patient: No, I haven't had any issues like that.
Doctor: OK and do you notice any kind of swelling in your feet, ankles, arms, legs, anything like that?
Patient: No, I haven't.
Doctor: OK, have you been in contact with anyone that's sick recently?
Patient: Uh, I don't I, I mean I see my granddaughter and I might have got a cold from her a few weeks ago, but recently I haven't seen anybody.</x:t>
  </x:si>
  <x:si>
    <x:t xml:space="preserve">V056</x:t>
  </x:si>
  <x:si>
    <x:t xml:space="preserve">Doctor: What brings you in?
Patient: Yeah, I've had uh, a cough that's been um, bugging me for the last several months now, and more recently I've noticed that I've started to bring up a bit more, or a little bit of blood as well.
Doctor: Okay, well that's not good. So you said the cough started several months ago, how many months ago do you think, like three, four, five?
Patient: Uh, yeah I would say, yeah, maybe like, like five or six, and it kind of started um, it was really infrequent and so it didn't really, well I thought it was just the usual smoking, but it's been getting worse over these last, over these past six months.
Doctor: Okay and um, the blood in the cough, when did that start?
Patient: So that started about, uh, about two weeks ago.</x:t>
  </x:si>
  <x:si>
    <x:t xml:space="preserve">So that started about, uh, about two weeks ago.</x:t>
  </x:si>
  <x:si>
    <x:t xml:space="preserve">Okay, and how much blood are we talking about? Is it just streaks? Is it frank blood? Is it a lot? A little?</x:t>
  </x:si>
  <x:si>
    <x:t xml:space="preserve">V057</x:t>
  </x:si>
  <x:si>
    <x:t xml:space="preserve">[...earlier consultation omitted...]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x:t>
  </x:si>
  <x:si>
    <x:t xml:space="preserve">Um, how much would you say you smoke on an average day?</x:t>
  </x:si>
  <x:si>
    <x:t xml:space="preserve">Doctor: What brings you in here today?
Patient: Hi, I'm um, I'm just, so I am here because I have this cough that I've had for the past um, week and a half, and I'm just uh, I usually don't come in with symptoms this minor, but because it's, because we're in the middle of a pandemic, I thought I should come in and get checked out.
Doctor: Okay, yeah, so it's been going on for like more than a week. Um, can you describe to me what kind of cough you're having? Is it like a wet cough or a dry cough?
Patient: It's a dry cough.
Doctor: Okay, and has it been getting worse over the, over the time period you described?
Patient: Um, it's kind of the same.
Doctor: It's the same. Um, have you noticed, although it's like dry, have you brought up any kind of sputum or phlegm at all?
Patient: Um no, not, not, not recently. But yeah, in the first couple of days, the first two, three days.
Doctor: Okay, um and have you noticed any kind of yellowish to greenish tinge to it?
Patient: No, it was watery.
Doctor: Watery, okay. Have you noticed at all, any blood, have you been coughing up any blood at all?
Patient: Uh, no.
Doctor: Okay, and is your cough like constant or does it come and go?
Patient: Um, kind of comes and goes. There's just times when I'm coughing a lot and then it just goes away.
Doctor: Okay, and is there a pattern to it? Like, uh, do you cough more when you're exerting yourself or any time, a certain time of the day?
Patient: Um, it's worse when I'm smoking.
Doctor: When you're smoking, okay. And uh, how long do those episodes last?
Patient: Couple of seconds, maybe?
Doctor: Okay, and has this happened to you before at all?
Patient: Yeah. I think, um, yeah, I usually don't pay much attention to it. You know, I think must have happened last year or the year before. It just kind of goes away on its own.
Doctor: Okay, and is there any anything that makes it better or worse?
Patient: Um, I um, I take this cough syrup, over the counter syrup, that helps.
Doctor: Okay. And um, have you found that it's been helping over, like, to help improve your cough over the last few days?
Patient: It goes away for a couple hours and then it comes back.
Doctor: I see. Does it keep keep you up at night at all?
Patient: No, no, no.
Doctor: No, okay. Are you having any other symptoms like shortness of breath, um sore throat, runny nose, anything like that?
Patient: Uh, I kind of had those symptoms in those first two, three days, but then it went away, and then I only had this cough that stayed.
Doctor: Okay, okay. And have you been in contact with anyone that's been sick around you at all?
Patient: Um, my daughter had the sniffles.
Doctor: When was that?
Patient: Last, two weeks ago.
Doctor: Two weeks ago? Okay. And uh, how is she now like, did it just go away on its own, or did she have to go to the doctor?
Patient: Um, no, it kind of went away on its own.
Doctor: Okay. Have you traveled at all recently outside of the province or the country?
Patient: No.
Doctor: No, okay. And besides the cough, are you having any headaches at all?
Patient: No.
Doctor: Any nausea or vomiting?
Patient: No.
Doctor: Any fevers or chills?
Patient: Not anymore.
Doctor: Not anymore, when was the last time that you had fevers or chills?
Patient: I think I had like a very, it must have been 37.4, um, in the first, two, three days. But it got better really quickly.
Doctor: Okay, I see. Any night sweats?
Patient: No.
Doctor: No, okay. Any, um, do you feel tired throughout the day?
Patient: Not anymore.
Doctor: Not anymore, okay. So any kind of chest pain, or sensation that your heart is racing?
Patient: No.
Doctor: No. Any dizziness or fainting spell?
Patient: No.
Doctor: Any changes in your bowel movements at all?
Patient: Um, no.
Doctor: No, so no constipation, diarrhea?
Patient: No.
Doctor: Okay, any changes in your urination?
Patient: No.
Doctor: No, okay. Um, have you had to miss work at all or, do you currently work?
Patient: Yeah, but I've been working from home.
Doctor: Okay.
Patient: I didn't have to miss work, so.
Doctor: Okay. And any changes in your sleep or appetite?
Patient: No.
Doctor: Okay, any loss of sense of taste or smell at all?
Patient: Um, initially, I guess the cough's first few days, my nose was a little stuffy, so yeah, I couldn't smell very well, but since then it's been fine.
Doctor: Okay, but no loss of taste?
Patient: No loss of taste, no.
Doctor: Okay. Uh, any recent significant changes to your weight at all over the last few months?
Patient: No.
Doctor: Okay, um, and any exposure in your home environment to dust, fumes? Any animals in the household?
Patient: No.
Doctor: Okay. And otherwise, uh, do you have any medical conditions that you've been diagnosed with in the past?
Patient: Uh no, I'm pretty healthy.
Doctor: Pretty healthy, okay. Any allergies, either to medications or environmental?
Patient: Um, I'm allergic to penicillin.
Doctor: To penicillin, okay. And what kind of reaction do you get to penicillin?
Patient: Um, I was told that I got a rash when I was a child. I don't really remember.
Doctor: Okay, and do you take any medications on a regular basis?
Patient: No.
Doctor: No, okay. And have you been hospitalized in the past or had any surgeries?
Patient: Um, I had my appendix removed about um, five years ago.
Doctor: Five years ago, okay. Any complications at all after that?
Patient: No.
Doctor: Okay. Any family history of any lung conditions, heart conditions, any cancers at all?
Patient: Um, colon cancer.
Doctor: Colon cancer?
Patient: Yeah my dad and my grandfather had it.
Doctor: Okay, um, and have you, have you had any scopes done recently at all?
Patient: Oh yeah, I had mine done uh, seven years ago.
Doctor: Seven years ago, okay. And were there any findings at all?
Patient: No.
Doctor: No, okay. Um, currently so you work from home, so what's your home and living situation like? Who do you live with, and where, do you live in like a house, appartment?
Patient: Uh, I live in an apartment with my wife and my daughter.
Doctor: Okay uh, and uh, do they have any symptoms at all? Or are they, are they fine?
Patient: Well, my daughter doesn't have any symptoms anymore. She did as I mentioned, have some flu like symptoms 2 weeks ago. My wife's been healthy.
Doctor: Okay, and uh, does your daughter go to school right now or is she doing school from home?
Patient: Uh, school from home.
Doctor: School from home, okay. Um, and do you at all smoke? So you mentioned your symptoms get worse with smoking.
Patient: Yeah.</x:t>
  </x:si>
  <x:si>
    <x:t xml:space="preserve">V058</x:t>
  </x:si>
  <x:si>
    <x:t xml:space="preserve">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x:t>
  </x:si>
  <x:si>
    <x:t xml:space="preserve">Six days ago.</x:t>
  </x:si>
  <x:si>
    <x:t xml:space="preserve">Did the breathlessness come on suddenly six days ago, or has it gradually worsened since then?</x:t>
  </x:si>
  <x:si>
    <x:t xml:space="preserve">V059</x:t>
  </x:si>
  <x:si>
    <x:t xml:space="preserve">[...earlier consultation omitted...]
Doctor: Uh, weight loss?
Patient: Uh, no.
Doctor: Fevers or chills?
Patient: No.
Doctor: Rashes?
Patient: Um, no.</x:t>
  </x:si>
  <x:si>
    <x:t xml:space="preserve">Um, no.</x:t>
  </x:si>
  <x:si>
    <x:t xml:space="preserve">Doctor: Okay. Did you hit your head or lose consciousness when you fell, and have you noticed any visible deformity, swelling, or bruising around the shoulder?</x:t>
  </x:si>
  <x:si>
    <x:t xml:space="preserve">Doctor: What brings you in?
Patient: I just came in because of I just got into like this uh, incident while I was playing rugby. I kind of got tackled and then fell onto my right shoulder. Um, and after I got up, I haven't, I've just been, this just happened a couple hours ago actually and uh, I've just been in intense pain in my right shoulder and I can't seem to move it at all.
Doctor: Okay, um, and sorry, when was this exactly?
Patient: Uh, probably 2 hours ago.
Doctor: 2 hours ago, okay. Um, and is this pain persistent or is it like on and off?
Patient: It's, it's constant. It hasn't gone away at all.
Doctor: Okay. 1 to 10, 10 being the worst. How bad is this pain?
Patient: I don't know, like probably like 8 or, 8 or 9.
Doctor: 8 or 9, okay. Um, and is it a sharp kind of pain or is it dull and aching?
Patient: It's, it's sharp. Like if I try to move it at all, it's like a sharp pain.
Doctor: Okay, um, and have you ever had anything like this in the past?
Patient: Uh, no, never.
Doctor: Never, okay. And are you able to move your arm at all or you can't move it?
Patient: I could move my fingers and hand and elbow, but um, elbow a little bit, but like uh, yeah, I can't move my shoulder whatsoever.
Doctor: Okay, um, and do you, are you experiencing any tingling or numbness?
Patient: Um, no, I don't think so.
Doctor: No, okay. Uh, how about any muscle weakness?
Patient: Um, in that area, I don't know if it's weakness or pain, but I just can't move it up and I, I, I do feel some like numbness just above my shoulder. No tingling though.
Doctor: Okay, any pain elsewhere in your body?
Patient: No.
Doctor: No, okay. Any headaches?
Patient: Um, no.
Doctor: Confusion or memory loss?
Patient: Uh, no.
Doctor: Uh, weight loss?
Patient: Uh, no.
Doctor: Fevers or chills?
Patient: No.
Doctor: Rashes?
Patient: Um, no.</x:t>
  </x:si>
  <x:si>
    <x:t xml:space="preserve">V060</x:t>
  </x:si>
  <x:si>
    <x:t xml:space="preserve">[...earlier consultation omitted...]
Doctor: OK, any weight loss?
Patient: Um, I don't think so.
Doctor: OK, fevers?
Patient: No.
Doctor: OK, exhaustion?
Patient: Um yeah, I would say like for the last few months I am a bit more tired.</x:t>
  </x:si>
  <x:si>
    <x:t xml:space="preserve">Um yeah, I would say like for the last few months I am a bit more tired.</x:t>
  </x:si>
  <x:si>
    <x:t xml:space="preserve">OK. And is that affecting your daily activities at all?</x:t>
  </x:si>
  <x:si>
    <x:t xml:space="preserve">Doctor: So what brings you in?
Patient: Yeah, so um I just came in because uh so I I have this cough that's been going on for the last five years, but over the last month it's really been getting worse. Um and like last week I I've just been constantly coughing. So yeah, I was just a bit concerned.
Doctor: Yeah, OK, so you said the past couple of years you've been coughing. So how many years exactly would that be? Two, three, four?
Patient: Probably five I would say, and I was diagnosed with uh COPD around that time.
Doctor: OK, OK, um the cough that you currently have, um is it a dry cough or are you bringing up any phlegm?
Patient: Uh I'm pretty much always bringing up like this uh white material.
Doctor: White, OK. Um and is it constant throughout the day or do you find it comes and goes?
Patient: It's pretty much there all the time, but uh it's definitely getting worse. Um it is, I think, the worst in the morning um when I wake up and I just feel like there's just a bunch of gunk stuck in the back of my throat.
Doctor: OK. Um and if you were to describe the quality of this cough, would you say it's harsh, barky, muffled?
Patient: I would say it's harsh.
Doctor: Harsh, OK. And has the quality of your cough changed at all in the past few years? Like does it sound different than it used to?
Patient: Um I don't know if it sounds different, but uh especially for the last month I would say I'm bringing up more of the material, and it's usually white over the five years, but um I noticed uh in the last week-ish, it's had a yellowish tinge to it as well.
Doctor: OK, OK, so it's changed a little bit. Um and are you experiencing any shortness of breath with this?
Patient: No I I don't think so, like I sometimes when I'm walking around uh doing more stuff, uh working in the garden like I feel like I might have to breathe a little bit harder, but uh not regularly.
Doctor: OK, OK, that's good. Um and any wheezing?
Patient: Uh, yeah. It's like usually I start coughing a lot more when I'm starting to do any kind of activities and sometimes when I start coughing more, I also start wheezing. Um but uh right now, I'm fine.
Doctor: You're fine now, OK, uh, alright. And sorry, forgot to ask you earlier, do you see any blood in your phlegm?
Patient: No, no, I haven't noticed any blood.
Doctor: OK, any uh changes to your hair or on your skin, like rashes?
Patient: Not that I've noticed, no.
Doctor: OK, any weight loss?
Patient: Um, I don't think so.
Doctor: OK, fevers?
Patient: No.
Doctor: OK, exhaustion?
Patient: Um yeah, I would say like for the last few months I am a bit more tired.</x:t>
  </x:si>
  <x:si>
    <x:t xml:space="preserve">V061</x:t>
  </x:si>
  <x:si>
    <x:t xml:space="preserve">[...earlier consultation omitted...]
Doctor: OK. Have you had any changes to your sense of taste?
Patient: No.
Doctor: OK. Have you had any eye redness or or any eye pain?
Patient: No.
Doctor: Any ear pain or ear discharge?
Patient: No.</x:t>
  </x:si>
  <x:si>
    <x:t xml:space="preserve">I see OK and have you been having any pain on your face? Like I like kind of over your cheeks or over your forehead?</x:t>
  </x:si>
  <x:si>
    <x:t xml:space="preserve">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
Doctor: OK, so no yellow, green or or red to indicate any blood?
Patient: No.
Doctor: OK, and you mentioned, so with the obstruction, have you had difficulties breathing?
Patient: Um a little bit, I just need to, and is mostly at night. I just need to shift to one side or the other to like unblock my airways.
Doctor: I see OK and have you been having any pain on your face? Like I like kind of over your cheeks or over your forehead?
Patient: No.
Doctor: OK, how about any headaches?
Patient: No headaches.
Doctor: All right, have you had any changes or to your sense of smell or any loss of smell?
Patient: Uhm no, maybe a little bit, but no, not really. I can still eat. I can still smell like candles and things like that so, maybe go with no.
Doctor: OK. Have you had any changes to your sense of taste?
Patient: No.
Doctor: OK. Have you had any eye redness or or any eye pain?
Patient: No.
Doctor: Any ear pain or ear discharge?
Patient: No.</x:t>
  </x:si>
  <x:si>
    <x:t xml:space="preserve">V062</x:t>
  </x:si>
  <x:si>
    <x:t xml:space="preserve">[...earlier consultation omitted...]
Doctor: OK. Um and it's been stable since then?
Patient: Yeah.
Doctor: OK, great. And I um I just wanted to ask a little bit about um your personal history. I was just wondering if you could talk a little bit about uh where you're living and and who you're living with.
Patient: Uh sure, so I'm living with my um I'm living with my husband and uh we live in an apartment.
Doctor: OK, and has he been sick or has anybody you've been around been sick?
Patient: Uhm, he was sick last week but he got better on his own.</x:t>
  </x:si>
  <x:si>
    <x:t xml:space="preserve">Uhm, he was sick last week but he got better on his own.</x:t>
  </x:si>
  <x:si>
    <x:t xml:space="preserve">OK, and were were his symptoms similar to yours or or uh or were they different?</x:t>
  </x:si>
  <x:si>
    <x:t xml:space="preserve">Doctor: How may I help you?
Patient: Hi, I've had um I've had a cough for the past um three days and uh I also developed a fever, um I think, so I checked it yesterday night, it was um 38. And uh I just decided to uh come into the walk in clinic just to um just to get myself checked out.
Doctor: Yeah certainly, it it sounds like you um have had a fever as well, so uh with the cough, you said that started three days ago, has it been getting uh any better or any worse?
Patient: It's gotten a little bit better, I'd say.
Doctor: OK, that's good. Um and and prior to three days ago, um did you have a cough before or was it a new new cough?
Patient: It's a new cough.
Doctor: Alright, and uh are you bringing up any sputum?
Patient: No.
Doctor: Um are you bringing up any blood?
Patient: No.
Doctor: And have you had any shortness of breath?
Patient: Uhm no, I haven't.
Doctor: OK, um how about any wheezing?
Patient: Yeah, I guess a little bit.
Doctor: A bit, OK. Um is it uh, are you having any chest pain?
Patient: Uhm, no.
Doctor: OK, um and so you mentioned um, with a fever have have you had any chills?
Patient: Yeah I did. Um I had the chills yesterday.
Doctor: OK. And have you had any night sweats?
Patient: Uhm, no.
Doctor: Alright, and um have you had any eye redness, runny nose, or even a sore throat?
Patient: No, I haven't.
Doctor: Alright, have you had any uh nausea or vomiting?
Patient: Uh no.
Doctor: Uh a loss of taste or loss of smell?
Patient: No.
Doctor: OK and any um abdominal pains?
Patient: Uhm, no.
Doctor: Any uh diarrhea?
Patient: No.
Doctor: You got any urinary problems?
Patient: No.
Doctor: OK, and have you had any skin changes or uh rashes?
Patient: No.
Doctor: And how has your energy been? Have you had fatigue?
Patient: Um a little bit.
Doctor: Alright, and have you had any muscle aches or or body pains?
Patient: Uhm, not much. No, but yeah, it's just I've been feeling, yeah, I guess a little bit. I have been feeling achy, uhm but I just thought it was my fibromyalgia acting acting up, but yeah, it's it's been worse over the past three days.
Doctor: OK. Uh so you've had um this cough, a dry cough, a fever, chills, and uh been more tired and and been a little bit more achy these past uh three days. Have you had any other symptoms?
Patient: I don't think so.
Doctor: OK, and have you tried anything to make it better?
Patient: Uh I just took a day or two off of work and I just rested and um had a lot of uh hot water. It helped me, uh It helped with the cough.
Doctor: OK great, and um have you had any uh like symptoms like this before?
Patient: Yeah, um, yeah I mean, when I I guess I get sick I do get similar symptoms like when I get the cold or the flu, but I usually have like a runny nose um or like a stuffy nose, but that's kind of different this time, a little bit.
Doctor: OK, and in the past have you been uh diagnosed with any medical conditions?
Patient: I have fibromyalgia and uh I um also have schizophrenia.
Doctor: OK, and are you taking medications currently?
Patient: Uh yeah. Uhm, I take um quetiapine and uh I just I take Advil um when my uh joint pains are really bad.
Doctor: OK, and do you have a um somebody that follows you along for either uh fibromyalgia or or schizophrenia?
Patient: Um my family doc. And then um yeah, it's pretty much just him. Um he, yeah.
Doctor: OK. And uh do you have any allergies to medications?
Patient: No.
Doctor: Alright and um are you aware if your immunizations are up to date?
Patient: Um yeah.
Doctor: Alright, and could you tell me, alright then sorry actually, uh have you had any hospitalizations or uh previous surgeries?
Patient: Uhm well, I uh I've been hospitalized. I I was kept in the psych unit for a couple of days, um two years ago. But nothing other than that.
Doctor: OK. Um and it's been stable since then?
Patient: Yeah.
Doctor: OK, great. And I um I just wanted to ask a little bit about um your personal history. I was just wondering if you could talk a little bit about uh where you're living and and who you're living with.
Patient: Uh sure, so I'm living with my um I'm living with my husband and uh we live in an apartment.
Doctor: OK, and has he been sick or has anybody you've been around been sick?
Patient: Uhm, he was sick last week but he got better on his own.</x:t>
  </x:si>
  <x:si>
    <x:t xml:space="preserve">V063</x:t>
  </x:si>
  <x:si>
    <x:t xml:space="preserve">[...earlier consultation omitted...]
Doctor: OK. OK, so not any allergies to any medications?
Patient: No.
Doctor: OK um. OK, do you have any family history of respiratory problems?
Patient: Um, I think, um, my brother has asthma. And I think my mom has asthma too.
Doctor: OK. Um OK, and in terms of your lifestyle, that sounds like you live with your wife and kids, you work at a grocery store. On a weekly basis, do you do you drink alcohol?
Patient: Maybe I'll have like 3 or 4 beers on the weekend.</x:t>
  </x:si>
  <x:si>
    <x:t xml:space="preserve">Maybe I'll have like 3 or 4 beers on the weekend.</x:t>
  </x:si>
  <x:si>
    <x:t xml:space="preserve">OK, so three to four drinks per week?</x:t>
  </x:si>
  <x:si>
    <x:t xml:space="preserve">Doctor: How are you doing today?
Patient: I'm doing OK, I just had this cough that's really started to bug me.
Doctor: OK, thanks for coming into the emergency Department today. We will really try to get this sorted out for you. How long is this cough been going on for?
Patient: Um about five days 5 days.
Doctor: Ok 5 days, and has anything else come on during that time? Are you having any other symptoms?
Patient: Yeah, I've been feeling pretty pretty hot and just haven't been really feeling very good. Overall, I've been just exhausted.
Doctor: Oh Im sad to hear that. Have you ever had anything like this before?
Patient: Yeah, maybe when I was younger, I don't know when I had the flu or something like that.
Doctor: OK. OK, so I'll ask you few more questions about your cough. So it started 5 days ago, has it gotten any worse or better since then?
Patient: It's been getting worse for sure. It's like going all all throughout the day, and it's been even interrupting sleep.
Doctor: Oh, geez. That's too bad. Do you find that it, does it feel really dry or are you bringing up like gunky stuff?
Patient: It it's really dry.
Doctor: OK. And he is there anything that seems to make it worse or better?
Patient: Not really, it's pretty consistent throughout the day.
Doctor: OK. OK, um have you had any chest pain?
Patient: Yeah, after coughing it can, it's it's starting to hurt, it didn't at first, but now that I've I think I've coughed so much it's starting to feel pain there.
Doctor: OK, what what part specifically in your chest are you feeling pain in?
Patient: Uh actually now that I think about of it, it's more more in my throat actually with the cough.. I would say with the cough. Yeah yeah, more of the throat.
Doctor: Would you say you have you've had a sore throat?
Patient: Yeah I guess so yeah I would, like now with the cough that's really kind of what I mean by what's been bugging me.
Doctor: OK OK, thanks for sharing that with me. Um and, along with this, have you noticed any change in your sense of smell or taste?
Patient: Um yeah, my smell is definitely been off ahh, which is kind of weird. My taste has been fine though.
Doctor: OK. OK, um and when did that start?
Patient: Yeah, now that you say it, I mean, well I guess this morning.
Doctor: OK mmm, have you had any nausea or vomiting?
Patient: Uh, no, nothing like that.
Doctor: OK. Um and you said you felt really hot. Have you taken your temperature at all?
Patient: No, I haven't, that's why, but I've been feeling pretty sweaty so that that's where I I feel like I have a fever, so I wanted to come in.
Doctor: OK, OK. Have you lost any weight recently, like unintentionally?
Patient: No, I've actually put on probably 5 or 10 pounds.
Doctor: OK. OK um. Have you had felt any any chills, or shakes?
Patient: Mmmm nothing like that.
Doctor: OK. Have you had any night sweats?
Patient: Um yeah, actually like yeah last night my shirt was was soaked through when I when I got up.
Doctor: Oh no. OK, and was that just last night?
Patient: Yeah yeah that was just last night.
Doctor: OK. OK um. So I'm just going to ask you some questions or sorry few more questions on this and then we'll move on to just your health in general. Have you traveled anywhere recently?
Patient: Um, no. I've been been well, just going to work an an home.
Doctor: OK. Um, have you been in contact with anyone that might be sick?
Patient: Um it's well, it's hard to say at the grocery store. I guess I see a lot of customers that come through, but um. I generally things are wiped down pretty frequently so.
Doctor: So you work at the grocery store?
Patient: Yeah.
Doctor: OK, and do you live alone or with family?
Patient: Alright, yeah, I live with family I I live with my wife and two children.
Doctor: Oh nice, yeah, do they work out of the home? Have they been in contact with anyone that's been sick?
Patient: Well, they're in high school um, and they've actually been doing a lot of their coursework on online, so. Yeah, I haven't really been around to any other other people.
Doctor: And your wife?
Patient: Yeah, she's been she's been home as well.
Doctor: OK. So in terms your overall health do you, are there any conditions that you see your family doctor for regularly?
Patient: Yeah, so I have a high blood pressure and type 2 diabetes.
Doctor: OK.
Patient: And so I I take a Ramipril and Metformin.
Doctor: OK, Ramipril and Metformin, any other medications?
Patient: Umm vitamin D.
Doctor: OK, and have you ever had any surgeries?
Patient: Um, yeah I had my Gallbladder taken out about 10 years ago or so.
Doctor: OK. OK um. So do you have any allergies?
Patient: Ahh just too like environmental stuff like um pollen I think.
Doctor: OK. OK, so not any allergies to any medications?
Patient: No.
Doctor: OK um. OK, do you have any family history of respiratory problems?
Patient: Um, I think, um, my brother has asthma. And I think my mom has asthma too.
Doctor: OK. Um OK, and in terms of your lifestyle, that sounds like you live with your wife and kids, you work at a grocery store. On a weekly basis, do you do you drink alcohol?
Patient: Maybe I'll have like 3 or 4 beers on the weekend.</x:t>
  </x:si>
  <x:si>
    <x:t xml:space="preserve">V064</x:t>
  </x:si>
  <x:si>
    <x:t xml:space="preserve">[...earlier consultation omitted...]
Doctor: OK, have you thought about quitting?
Patient: Yeah, yeah, multiple doctors have told me to quit and it's just, I don't think I can quit. It's not gonna happen. I can't live without my cigarettes.
Doctor: OK, the door is always open and certainly something we can talk about at anytime, uh, if you'd like to, but, uh, in the meantime, we'll leave it alone for now. I was wondering if you drink alcohol?
Patient: I drink a glass or two every weekend.
Doctor: OK, and do use any other recreational drugs like marijuana, cocaine?
Patient: No.</x:t>
  </x:si>
  <x:si>
    <x:t xml:space="preserve">OK, and, any family history of heart or lung conditions?</x:t>
  </x:si>
  <x:si>
    <x:t xml:space="preserve">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
Doctor: OK, and have you had any headaches?
Patient: No.
Doctor: How about any ear pain or eye pain?
Patient: No.
Doctor: Any sore throat?
Patient: No.
Doctor: OK, have you had a loss of smell or a loss of taste?
Patient: No, I don't think so.
Doctor: OK, and have you had any wheezing?
Patient: A little bit. It's been there for a while though.
Doctor: OK, have you noticed any changes to the wheeze?
Patient: No, I don't think so. I don't know. I can't tell.
Doctor: I see, OK, and have you had any chest pain?
Patient: No.
Doctor: Have you had any lightheadedness or dizziness?
Patient: No.
Doctor: OK, and have you had any heart palpitations?
Patient: No.
Doctor: Alright, and have you had any abdominal pain, nausea or vomiting?
Patient: No.
Doctor: Alright, and any urinary problems?
Patient: No.
Doctor: Any bowel problems?
Patient: No.
Doctor: OK, and have you had any changes to your skin or any rashes?
Patient: No, not really.
Doctor: OK, and have you had any fevers or chills?
Patient: I think I was feeling very chilly last night. My wife had to bring an extra blanket for me.
Doctor: OK, have you had any night sweats?
Patient: No, I don't think so.
Doctor: OK, and uh, have you checked your temperature?
Patient: No, I didn't.
Doctor: OK, we'll certainly check that today. And have you had any weight loss in the last several months?
Patient: I don't check my weight very often, but no, uh, yeah, my clothes still fit, they're all, they're fine.
Doctor: OK, fair enough and, uh, have you noticed any, like, leg swelling or any swelling in your belly?
Patient: No.
Doctor: OK, and in regards to your past health, you mentioned COPD, but have you been diagnosed with any other medical conditions?
Patient: Yeah I have high blood pressure, and my cholesterol is also a little bit on the high side.
Doctor: I see, OK and you use puffers. Do you use any other medications?
Patient: Yeah, I think my doc prescribed some pills, I don't know, I don't remember what they are, I just take them every day.
Doctor: OK, we can get that information. Have you had any hospitalizations?
Patient: Uhm, I've been to the ER a couple of times and this one time, it was similar to this time, when I was having difficulties breathing and had to stay for about five days or so. I think that was two years ago.
Doctor: OK, and how are your symptoms feeling now when compared to, uh, that time?
Patient: I wasn't producing this green yellow thing that's coming out of my mouth right now. It was not that bad. It's just last time I was having difficulties breathing, so I decided to come in. But this time I just have this weird thing, I don't even feel like looking at it.
Doctor: OK, yeah, for sure it sounds like there's something certainly going on here and Yeah, have you had any past surgeries?
Patient: I had, uh, I had a knee replacement.
Doctor: OK, and, uh, can you tell me a little bit about your living situation, like who do you live with and whereabouts?
Patient: Yeah, I live with my wife about ten minutes away from here. We live in an apartment, uh, yeah.
Doctor: OK, are you working, are you retired?
Patient: I retired two years ago. I used to work at Chrysler, as a mechanic.
Doctor: OK, and have you been around anybody who might be sick?
Patient: No.
Doctor: Alright, how about, have you traveled anywhere?
Patient: No, I've just been staying indoors. My wife's been staying with me. We're both pretty careful, we're worried about catching covid so we don't even go out for groceries, we just have those delivery guys come and bring us our groceries.
Doctor: OK, and you smoke cigarettes, you mentioned, how much do you smoke per day?
Patient: I smoke about a pack a day.
Doctor: OK, and how long have you smoked for?
Patient: Let's see, about forty-five years.
Doctor: OK, have you thought about quitting?
Patient: Yeah, yeah, multiple doctors have told me to quit and it's just, I don't think I can quit. It's not gonna happen. I can't live without my cigarettes.
Doctor: OK, the door is always open and certainly something we can talk about at anytime, uh, if you'd like to, but, uh, in the meantime, we'll leave it alone for now. I was wondering if you drink alcohol?
Patient: I drink a glass or two every weekend.
Doctor: OK, and do use any other recreational drugs like marijuana, cocaine?
Patient: No.</x:t>
  </x:si>
  <x:si>
    <x:t xml:space="preserve">V065</x:t>
  </x:si>
  <x:si>
    <x:t xml:space="preserve">[...earlier consultation omitted...]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x:t>
  </x:si>
  <x:si>
    <x:t xml:space="preserve">Uh, I think it's just staying at the back of my throat.</x:t>
  </x:si>
  <x:si>
    <x:t xml:space="preserve">OK. And have you noticed any other symptoms along with the sore throat, like a fever, cough, or runny nose?</x:t>
  </x:si>
  <x:si>
    <x:t xml:space="preserve">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x:t>
  </x:si>
  <x:si>
    <x:t xml:space="preserve">V066</x:t>
  </x:si>
  <x:si>
    <x:t xml:space="preserve">Doctor: Can you tell me what brought you in here today?
Patient: Sure, I've been feeling very short of breath for the past, uh, two weeks, but even before that, I started feeling a little bit short of breath and I can't stop coughing and it just feels like it's really hard for me to breathe.
Doctor: OK, so this started two weeks ago?
Patient: Yeah, it started two weeks ago.
Doctor: OK, and you're also coughing?
Patient: Yeah.</x:t>
  </x:si>
  <x:si>
    <x:t xml:space="preserve">Is the cough dry, or are you bringing up any mucus or blood?</x:t>
  </x:si>
  <x:si>
    <x:t xml:space="preserve">V067</x:t>
  </x:si>
  <x:si>
    <x:t xml:space="preserve">[...earlier consultation omitted...]
Doctor: Okay, and uh, okay Um, and uh, is it, is it associated with any pain?
Patient: No, it's not really, uh, that painful. It's uh, it's, if I press on it, it's a little bit uncomfortable, but it's not like, I wouldn't call it pain.
Doctor: Okay. And have you had any trauma to the, to the knee, or area, or any injuries there?
Patient: Uh, no, not that I can remember. I don't think I've had any injuries there, and this lump is like, probably like 2 to 3 centimetres, it's, I don't even know like, when it appeared or why it appeared. I haven't really injured myself or anything.
Doctor: Okay, um, and have you had any, uh, any fevers or chills?
Patient: No.</x:t>
  </x:si>
  <x:si>
    <x:t xml:space="preserve">Okay, and has the size of the lump changed at all since you first noticed it?</x:t>
  </x:si>
  <x:si>
    <x:t xml:space="preserve">Doctor: How may I help you?
Patient: Uh, I, I'm uh, just coming into the clinic uh, today uh, my parents told me to come today. I don't know what this thing is, just mass right below, or kind of like a lump or mass below my right knee and it's not painful or anything, it's a little bit uncomfortable but I just want to check out and see what it might be.
Doctor: Yeah, certainly. Okay, when, when did you first um, notice this mass?
Patient: So I think I noticed it um, for the first time um probably a couple weeks ago. I would say like, two weeks ago I, I noticed it.
Doctor: Okay, and uh, where specifically is it, is it located?
Patient: So it's, it's uh, below my knee uh, right on like uh, I feel it on the big big bone right below the knee. It's um, yeah, I just feel like uh, like a hard lump.
Doctor: Okay, and uh, okay Um, and uh, is it, is it associated with any pain?
Patient: No, it's not really, uh, that painful. It's uh, it's, if I press on it, it's a little bit uncomfortable, but it's not like, I wouldn't call it pain.
Doctor: Okay. And have you had any trauma to the, to the knee, or area, or any injuries there?
Patient: Uh, no, not that I can remember. I don't think I've had any injuries there, and this lump is like, probably like 2 to 3 centimetres, it's, I don't even know like, when it appeared or why it appeared. I haven't really injured myself or anything.
Doctor: Okay, um, and have you had any, uh, any fevers or chills?
Patient: No.</x:t>
  </x:si>
  <x:si>
    <x:t xml:space="preserve">V068</x:t>
  </x:si>
  <x:si>
    <x:t xml:space="preserve">[...earlier consultation omitted...]
Doctor: OK. OK.
Patient: It's just like this environmental, it's not like not like the really dangerous allergies, you know?
Doctor: Right, OK. Um, how about immunizations? Are you up to date?
Patient: I think so.
Doctor: Alright, and in terms of family history, are there any lung conditions or heart conditions?
Patient: Oh, like my dad had high blood pressure, but other than that I don't think there is anything that stood out.</x:t>
  </x:si>
  <x:si>
    <x:t xml:space="preserve">Oh, like my dad had high blood pressure, but other than that I don't think there is anything that stood out.</x:t>
  </x:si>
  <x:si>
    <x:t xml:space="preserve">OK. And what about social history? Do you smoke or vape?</x:t>
  </x:si>
  <x:si>
    <x:t xml:space="preserve">Doctor: What brings you in today?
Patient: So, just for the past, like 3 days I've been coughing. It's I I don't feel particularly sick. I'm just kind of dry like annoying call that won't go away and then today I took my temp in it It's pretty high. It was like 99 point like 9. I didn't really take it the other days, so I guess so I just thought I'd better come get it checked out because I, I am on like a biologic medication, so, for my Crohn's disease.
Doctor: OK, yeah. Yeah, thank you for coming in. I think it's good that you are getting this checked out as early as possible. So just to rewind a little bit. When did your dry cough start?
Patient: Uh, like 3 days ago three days ago.
Doctor: 3 days ago, OK. And when did your fever start?
Patient: So I didn't take my temp, but like the other days, but like for sure this morning.
Doctor: OK um, OK, so the cough is it always a dry cough or do you sometimes bring up sputum or blood?
Patient: Yeah, it's always a dry cough. It's really just annoying.
Doctor: Yeah, yeah. Do you feel wheezy at all?
Patient: Uh, no.
Doctor: No wheeziness, OK. How about short of breath?
Patient: No.
Doctor: No OK. Uhm, any chest pain?
Patient: No.
Doctor: No. Do you ever feel like your heart is racing?
Patient: No, I can't say that I do.
Doctor: OK, any swelling in your limbs?
Patient: Um, no.
Doctor: OK, how about um, um a sore throat?
Patient: No.
Doctor: No sore throat, OK. Any issues with taste or smell?
Patient: No.
Doctor: Do you have a runny nose or a stuffy nose?
Patient: Maybe a bit of a runny nose.
Doctor: OK. And any issues with vision or hearing?
Patient: Ah, no.
Doctor: OK, how about, uh, fevers or chills?
Patient: No, no fever. I mean I I took my temp was high. I guess I felt hot but I didn't, there were no chills.
Doctor: OK, OK, how about weight loss? Oh that's OK. How about weight loss?
Patient: Weight loss? No, no, nothing, nothing new.
Doctor: OK. Any changes in your hair, nails, or skin? Like rashes?
Patient: No.
Doctor: OK. Um, any issues swallowing food?
Patient: No.
Doctor: Nausea or vomiting?
Patient: No.
Doctor: Um, changes in your bowel habits?
Patient: Well, like I said I have Crohn's disease. I'm not like in a flare right now or anything, so I'll say no, but like my baseline is not like totally normal.
Doctor: OK yeah, that makes sense. Umm, alright. Do any changes in your urine?
Patient: No.
Doctor: No changes in urine.
Doctor: How about dizziness or fainting spells?
Patient: No.
Doctor: Any confusion or memory loss?
Patient: No.
Doctor: OK, and are you otherwise healthy? I know you mentioned you have Crohn's disease. Do you have any other longstanding medical conditions?
Patient: Oh, not really. Just that, and, uh, eczema.
Doctor: Eczema, OK.
Patient: Tends to get pretty bad, like I don't really have any right now, but I really stay on top of it with like my moisturizers and like I always have like a hydrocortisone cream on hand just in case.
Doctor: Yeah, for sure. How long have you had eczema for?
Patient: Oh, like when I was, started when I was like a kid and then I feel like when I was a teenager I didn't really, and then part of it as an adult I really have to take care of it or else it gets bad.
Doctor: OK OK. Um, have you ever been hospitalized or have you had any surgeries in the past?
Patient: Uh, like when I was first diagnosed with Crohn's maybe 20 years ago, when I was like 20, I was in the hospital for a little bit 'cause I was really dehydrated and I couldn't really like, I just couldn't I wasn't feeling well at that time, but since then I've been pretty on top of it.
Doctor: OK, that's good to hear. You mentioned you're on biologics for Crohn's disease? Are there any other medications that you're on?
Patient: Um, just like the hydrocortisone, cream on occasion.
Doctor: Right. OK. Um, OK and. Do you have any allergies?
Patient: Ah, like I have some seasonal allergies, like ah, its ragweed, which is not like right now, is not the time for it. And like cats and dogs.
Doctor: OK. OK.
Patient: It's just like this environmental, it's not like not like the really dangerous allergies, you know?
Doctor: Right, OK. Um, how about immunizations? Are you up to date?
Patient: I think so.
Doctor: Alright, and in terms of family history, are there any lung conditions or heart conditions?
Patient: Oh, like my dad had high blood pressure, but other than that I don't think there is anything that stood out.</x:t>
  </x:si>
  <x:si>
    <x:t xml:space="preserve">V069</x:t>
  </x:si>
  <x:si>
    <x:t xml:space="preserve">[...earlier consultation omitted...]
Doctor: I see, OK. Have you noticed any wheezing sounds when you breathe out, or breathe in?
Patient: No wheezing.
Doctor: OK. And you mentioned no chest pain, right?
Patient: Yeah, no chest pain.
Doctor: OK, have you noticed any kind of swelling in your legs or hands or anywhere else in your body?
Patient: No swelling.</x:t>
  </x:si>
  <x:si>
    <x:t xml:space="preserve">No swelling.</x:t>
  </x:si>
  <x:si>
    <x:t xml:space="preserve">Doctor: Given the persistent productive cough, pink-tinged sputum, fevers, night sweats, unintentional weight loss, and recent travel to India with possible exposure, I’m concerned about tuberculosis. Before we continue, do you have any medical conditions or medications that could weaken your immune system, such as HIV, diabetes, steroid use, chemotherapy, or an organ transplant?</x:t>
  </x:si>
  <x:si>
    <x:t xml:space="preserve">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Oh I see OK. I don't know, maybe a few teaspoons throughout the day.
Doctor: OK.
Patient: At first I thought I I I had a, a chest infection, but even after antibiotics from my GP, or or my family doctor, It never cleared up.
Doctor: OK, and so when did you go on the antibiotics?
Patient: Ah so this is about, uh, about a month ago.
Doctor: Mhmm.
Patient: And yeah, so I went to see my family doctor about the cough then and dad was prescribed some antibiotics. I think azithromycin and it, it still didn't, it didn't do anything.
Doctor: OK, I see. And do you find that your cough has been getting worse since then?
Patient: Uh, I would say the cough has been about the same.
Doctor: OK. But how about the sputum that you're bringing up, has that increased?
Patient: Uh, it's about the same, but it definitely I would say there's a pink tinge in the sputum now. Every once in awhile I've noticed more than than before.
Doctor: OK. And did this all start after the chest infection or did you have something like this occur before?
Patient: Um, yeah, this all started after.
Doctor: OK, I see. Was there anything that happened around that time? Any new environment that you were exposed to?
Patient: Ah, well, I did go to India a few months ago.
Doctor: OK, and how many months was that? Was that also like two months ago?
Patient: Yeah, about that, probably closer to three or four, but yeah, right around the time that that I think this, uhm cough started or just before I got back.
Doctor: OK, I see. And how often are you coughing in a day?
Patient: Ah. a few times an hour.
Doctor: OK. Anything that makes your cough go away now you've tried?
Patient: Uh, no nothings really helped it go away.
Doctor: OK, and is it better or worse? During good morning as opposed to night?
Patient: Uh, it's pretty, it's pretty bad all day actually and it's been impacting my sleep because I've been coughing at night too.
Doctor: I see. And, um, in terms of things that make it worse, anything you do around the house or at work that makes the coughing worse?
Patient: Uh yeah, I guess if I'm just moving around a little bit more it might bring it on a little bit more, but it's pretty bad all day.
Doctor: I see. And in terms of any other symptoms you might be having, uh, do you have any shortness of breath, runny nose, any chest pain?
Patient: Um, no, not really.
Doctor: OK. Besides the pain tinged sputum, have you ever coughed up blood, like red blood?
Patient: Not anything that was really bright red. More pink.
Doctor: More pink. OK. Yeah, so you traveled to India just two months ago. Do you remember what kind of place you stayed in India? Was it a, a in a crowded place or were you by yourself?
Patient: Well, I mean there is a lot of people around. Yeah, there was not a lot of room where I was was staying, so it was pretty crowded.
Doctor: OK, and was there anyone that was ill around you or any exposure to tuberculosis?
Patient: Uhm, not that I'm not aware of. I was around my family but, umm, I guess it's possible.
Doctor: OK. And once you came back did anyone else, in your family get sick? Or was it just you?
Patient: Oh yeah, I spoke to my relative went when I got back and they they didn't tell me about one of my cousins there that was feeling sick.
Doctor: OK. And have you been having any fevers or chills?
Patient: Yeah, I feel I feel like I've been pretty pretty hot sometimes.
Doctor: OK, and how about night sweats?
Patient: Yeah, the coughs been messing with my sleep, and I've been waking up with night sweats.
Doctor: OK. And have you been having any headaches?
Patient: Ah no headaches.
Doctor: Any do you feel that you've lost any weight recently?
Patient: Uh, maybe a few pounds, but um.
Doctor: Have you tried to lose weight, or was that unintentional?
Patient: No, I, I was kind of surprised. I thought I would have gained weight 'cause I've been a bit more lazy recently, but the weight seems to be down anyway.
Doctor: I see, OK. Have you noticed any wheezing sounds when you breathe out, or breathe in?
Patient: No wheezing.
Doctor: OK. And you mentioned no chest pain, right?
Patient: Yeah, no chest pain.
Doctor: OK, have you noticed any kind of swelling in your legs or hands or anywhere else in your body?
Patient: No swelling.</x:t>
  </x:si>
  <x:si>
    <x:t xml:space="preserve">V070</x:t>
  </x:si>
  <x:si>
    <x:t xml:space="preserve">Doctor: What brings you in?
Patient: Hi, I've I've had um this pain in my left knee that's been going on now for the last uh three or four months um but it's gotten a bit a bit worse, it used to only really bug me while I was doing activity, and now its started to uh hurt even more um afterwards as well, so I'm getting the pain at at rest. and so I wanted to come and get that checked out.
Doctor: OK yeah, for sure. Um and you said it started a few weeks ago?
Patient: Uh well, I think it first started a few months ago, but in the past couple of weeks it has started to um kinda like last longer and and happen at rest as well.
Doctor: Yeah, and so does anything make it worse or better? I assume doing any sort of physical activity makes it worse and rest makes it better, but how about anything other than that?
Patient: Uhm not really, yeah, it's mostly just the the activity, if I'm going upstairs or um downstairs or uh during running is really where it hurts the most and that's what's bugged me the um yeah, the most, running.</x:t>
  </x:si>
  <x:si>
    <x:t xml:space="preserve">Uhm not really, yeah, it's mostly just the the activity, if I'm going upstairs or um downstairs or uh during running is really where it hurts the most and that's what's bugged me the um yeah, the most, running.</x:t>
  </x:si>
  <x:si>
    <x:t xml:space="preserve">Okay, so it’s primarily aggravated by stairs and running. And you mentioned it lingers afterwards now, even at rest. Can you tell me a bit more about the pain itself? Is it sharp, dull, aching, throbbing? Where exactly in the knee do you feel it?</x:t>
  </x:si>
  <x:si>
    <x:t xml:space="preserve">V071</x:t>
  </x:si>
  <x:si>
    <x:t xml:space="preserve">[...earlier consultation omitted...]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x:t>
  </x:si>
  <x:si>
    <x:t xml:space="preserve">Umm, I don't.</x:t>
  </x:si>
  <x:si>
    <x:t xml:space="preserve">OK, so it sounds like you've had a few days of cough, fatigue, loss of taste and smell, some dizziness, and diarrhea this morning.</x:t>
  </x:si>
  <x:si>
    <x:t xml:space="preserve">Doctor: How are you?
Patient: I'm doing OK. Thank you. How are you?
Doctor: I'm well thanks. What brings you in today?
Patient: So, usually we go to my favorite pizza spot for lunch and these last couple of days I've noticed I just can't taste it.
Doctor: OK, when you say the past couple of days, do you mean two days, three days, four days?
Patient: I would say the last two days, yeah, just yesterday and today.
Doctor: OK, so loss of taste, so you can't taste anything or you can only taste some things or you're just not getting the full depth of your taste?
Patient: Yeah, I really noticed it with the pizza, but with like other things too, it's just a yeah, really plain, it doesn't  really have any flavor with the food that I'm eating.
Doctor: OK, so it kind of tastes like cardboard.
Patient: Yeah, kind of, and I think, like, I mean part of that is that I maybe not smelling it as well either.
Doctor: Yeah, OK. Umm, did you have any trauma to the area like the mouth area or the nose area in the past couple of days or days leading up to that?
Patient: Umm, no, not at all, no.
Doctor: OK and do you have a fever at all?
Patient: Umm, I don't think so no.
Doctor: OK, you have a cough?
Patient: Yeah, I've had a cough.
Doctor: OK, a similar timeline?
Patient: Yeah, that's when the cough started, maybe three or four days ago.
Doctor: OK. And is it a dry cough or a wet cough?
Patient: Yeah, it's a dry cough.
Doctor: OK, so no sputum, no blood?
Patient: No sputum and and no blood.
Doctor: And do you feel wheezy at all?
Patient: No wheeziness.
Doctor: How about shortness of breath?
Patient: Umm, maybe after coughing, I've had a hard time catching my breath.
Doctor: OK, sure, yeah. And how about any fatigue? Do you feel like you're more tired than usual?
Patient: Yeah, these past few days I have definitely. I felt more tired, I've been sleeping a lot more throughout the day and just I don't know, kind of lazy.
Doctor: Yeah, and I know you mentioned you're having a hard time tasting. How about your appetite though? Do you feel like you've lost appetite?
Patient: I think appetite's been OK. I've been hungry.
Doctor: Yeah, OK umm, how about muscle aches?
Patient: Umm, no, just tired.
Doctor: OK and chest pain?
Patient: No chest pain.
Doctor: Alright, do you have a feeling like your heart's racing?
Patient: No, nothing like that.
Doctor: OK, any changes in your bowel movements?
Patient: Umm, yeah, well, I had diarrhea this morning actually.
Doctor: OK, so some diarrhea this morning.
Patient: None before that though. It was just the one or kind of two times, but it hasn't happened since then.
Doctor: OK, no constipation?
Patient: No.
Doctor: No blood in your stool?
Patient: I know I didn't see anything red.
Doctor: OK, how about your stool seeming like it's very dark? Almost to the point where it looks black?
Patient: Oh no, it it wasn't dark like that.
Doctor: OK, good, any abdominal pain?
Patient: No.
Doctor: Any issues swallowing food?
Patient: Umm, no issues swallowing food. My throat has felt a bit itchy. I mean I've been coughing alot.
Doctor: Does it feel sore as well?
Patient: Not really or just kind of yeah, kind of scratchy.
Doctor: OK, have you had a runny nose or a blocked nose?
Patient: Umm, not really.
Doctor: No, OK, any rashes?
Patient: Umm, no. I haven't noticed any rashes.
Doctor: OK, and are things normal with your urine?
Patient: Yeah they are.
Doctor: How about dizziness or fainting spells?
Patient: Umm, a little bit dizzy I when I got out of bed this morning, but we sat back down for a couple of minutes. I felt better.
Doctor: OK, good good. Do you think that this morning you were dizzy because you were dehydrated? Or is this like a normal thing for you?
Patient: I mean, I guess I could have been dehydrated. I didn't even think of that, but I mean, since the food didn't taste so great, I don't know. I probably didn't eat as much yesterday or the last couple of days. Maybe I haven't eaten as much.
Doctor: OK, Yep. OK, do you feel weak?
Patient: I don't know, maybe. Maybe a little weak, but umm, just way more tired.
Doctor: OK, any confusion or memory loss?
Patient: Umm, no, I have been able to do some of my school work.
Doctor: OK, good. And you mentioned no rashes, right?
Patient: No rash.
Doctor: OK, any weight loss over the past couple of months?
Patient: Nothing like that. No weight change, it's been the same.
Doctor: OK, how about umm night sweats or chills?
Patient: I felt a bit, umm, hot but not sweaty, just hot.
Doctor: OK, so kind of like you have a fever?
Patient: Yeah, I guess so, maybe.
Doctor: Sure any muscle aches?
Patient: Umm, no muscle aches.
Doctor: Have you been around anyone who's been sick recently?
Patient: Yeah there is this guy in my class who was sick in class last week.
Doctor: What kind of symptoms did he have?
Patient: Well, he had a cough and fever. Yeah, I think he had a cough and a fever and somebody said that. Maybe a sore throat or something like that.
Doctor: OK, so yeah, some symptoms overlap with yours I guess. Have you traveled anywhere recently?
Patient: Oh no, I've been at home. We just started back at going in person to school again.
Doctor: OK, that's good. And are you otherwise healthy?
Patient: Yeah, I haven't been diagnosed with any medical conditions in the past.
Doctor: Oh good, OK. And do you have any allergies?
Patient: Possibly cats but we don't have any pets at home.
Doctor: OK, good have you been around cats recently?
Patient: No.
Doctor: OK and then any hospitalizations or surgeries in the past?
Patient: I did have my appendix taken out like 4 four years ago. Yeah, at the beginning of high school, but that was the only surgeryand everything went well.
Doctor: OK, are you up to date with all your immunizations?
Patient: I am, yeah. I have my immunization card here actually.
Doctor: OK, good. Any family history of lung conditions or heart conditions that you know of?
Patient: I know my grandfather had lung cancer, but he smoked his whole life also. Also diabetes but don't know if he had any heart problems though.
Doctor: OK, I'm sorry I forgot to ask you, are you on any medications?
Patient: Umm, I'm not.
Doctor: OK, and do you smoke?
Patient: Umm, I don't.</x:t>
  </x:si>
  <x:si>
    <x:t xml:space="preserve">V072</x:t>
  </x:si>
  <x:si>
    <x:t xml:space="preserve">[...earlier consultation omitted...]
Doctor: OK, and have you had any trauma or injuries to your wrist or hand?
Patient: No, nothing that I can think of.
Doctor: Alright. Um and, have you had any weight loss recently?
Patient: No.
Doctor: How about any fevers or chills?
Patient: No.</x:t>
  </x:si>
  <x:si>
    <x:t xml:space="preserve">Doctor: Do these symptoms ever wake you up at night, or are they worse when you first wake up in the morning?</x:t>
  </x:si>
  <x:si>
    <x:t xml:space="preserve">Doctor: How may I help you?
Patient: Um I'm here because I've had some numbness in my right hand and uh doesn't seem to be going going away, so I thought I should get it checked out by you.
Doctor: Yeah, certainly so, so when did this exactly start?
Patient: Um so it's been pretty gradual, I would say over the past month or two months um is when I first noticed it, but the numbness is definitely worse now than it was at the start.
Doctor: OK, and uh where is this um the pain and numbness, where are you feeling it exactly?
Patient: Um it's particular, it's the worst on my thumb and index finger.
Doctor: OK, do you feel it on your ring finger or uh, or sorry or your middle finger?
Patient: Um there is a little bit on my middle and ring finger, but it's like it's very very mild.
Doctor: OK. Uh, and uh, like how long, is, are the symptoms constant or or are they intermittent?
Patient: Um I would say it's somewhat constant, but it's worse when um when I'm trying to like hold the steering wheel or using my phone, or you know, reading a book.
Doctor: OK, I see, and um is there anything that you do uh at those times, to try to help get the symptoms to go away?
Patient: Um I guess I like shake out my hand um or yeah, try to put pressure on those numb, numb areas.
Doctor: OK, does flicking the the wrist or anything like that, does it help?
Patient: Uh maybe slightly.
Doctor: OK. And uh like how would you describe the the pains in your hand, like dull, achy, sharp?
Patient: I would say the pain is more like a tingling sensation. Um so I guess the tingling is is like a sharp feeling, um I wouldn't call it so much pain as I would just like tingling and numbness.
Doctor: OK. OK, and uh is is there anything, so you mentioned sort of the driving and using your phone, are there any other activities that make it worse?
Patient: Recently I found it's hard for me to hold things um in my right hand, so like if I'm trying to open up a jar um like it's hard for me to hold it, and sometimes I find uh like it'll just fall out of my hand.
Doctor: OK, so you're like dropping items and stuff?
Patient: Mhmm, yes.
Doctor: OK, and do you feel any, uh, like the numbness or tingling, does it radiate anywhere? Like to your forearm or up into your like upper arm or shoulder?
Patient: Uh no, I don't think so. No.
Doctor: OK. And do you have any neck pain?
Patient: No.
Doctor: OK, and have you had any trauma or injuries to your wrist or hand?
Patient: No, nothing that I can think of.
Doctor: Alright. Um and, have you had any weight loss recently?
Patient: No.
Doctor: How about any fevers or chills?
Patient: No.</x:t>
  </x:si>
  <x:si>
    <x:t xml:space="preserve">V073</x:t>
  </x:si>
  <x:si>
    <x:t xml:space="preserve">[...earlier consultation omitted...]
Doctor: And any changes to your urinary habits, like pain or?
Patient: Uh no, nothing like that.
Doctor: Okay, and um, how has your appetite been?
Patient: Um, it hasn't been the greatest because I haven't been feeling well, but I've still been eating.
Doctor: Okay, have you had any weight loss over the last several months?
Patient: Um, no, not that I've noticed.</x:t>
  </x:si>
  <x:si>
    <x:t xml:space="preserve">Um, no, not that I've noticed.</x:t>
  </x:si>
  <x:si>
    <x:t xml:space="preserve">I'm going to order a chest x-ray and blood work.</x:t>
  </x:si>
  <x:si>
    <x:t xml:space="preserve">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
Doctor: Do you feel it radiating anywhere, like to your back or to either side?
Patient: No.
Doctor: Okay, how would you describe the pain? Like sharp, dull?
Patient: Um, it's pretty sharp when I take a deep breath in.
Doctor: How long does the pain last for, and is there anything that you do that makes it go away?
Patient: It was like less than a minute um, and, and it goes away when I like, if I try not to take a deep breath in.
Doctor: Okay, so it sounds like that it, the, the breathing is a trigger there, when you're breathing in deeply.
Patient: Yeah.
Doctor: Alright. And have you had any wheeze?
Patient: Uh, a little bit, yes.
Doctor: Alright, and uh, is the wheeze new as well?
Patient: Um yes, that also started after the coughing and the shortness of breath.
Doctor: Alright. And have you had any episodes of feeling like your heart's racing, or is it speeding really fast?
Patient: No.
Doctor: Okay, and you said it, yeah, you've been short of breath as well. Um, are you really short of breath now, and what sorts of things have been really bringing it on for you?
Patient: Um it's, yeah, I'm still a little bit short of breath and I, I guess the shortness of breath gets worse when I'm walking or doing something physical.
Doctor: Okay and did, is this new or did you have this before?
Patient: It's new.
Doctor: Okay, have you noticed any swelling in your in your legs or extremities?
Patient: No, nothing like that.
Doctor: And do you get short of breath if you lie down flat?
Patient: Uh, no, not that I've noticed.
Doctor: And how many pillows do you sleep with?
Patient: Uh, just the one.
Doctor: Okay um, and have you had any headaches?
Patient: No.
Doctor: And how about any eye redness or discharge?
Patient: Uh no.
Doctor: Have you had a runny nose or felt congested?
Patient: Um, yeah a little bit. Yeah, I've been, yeah, I've been feeling a little congested.
Doctor: And when did that start?
Patient: Um, that started a little bit before the cough, actually.
Doctor: Okay, and you're still feeling that now?
Patient: Yeah.
Doctor: Okay. Have you had a sore throat?
Patient: No sore throat.
Doctor: Okay, and um, have you had any um, muscle aches or body pains?
Patient: Um I, yeah, I guess my muscle aches a little bit um, it's very dull though, it's not sharp.
Doctor: Okay, and uh, how has your energy been? Have you been fatigued?
Patient: Yeah, my energy's been pretty low. Um, I've been feeling very tired.
Doctor: Okay, and how long has that been going on for?
Patient: Um, for about the same amount of time. Like three days, yeah.
Doctor: Alright, and have you had any abdominal pain?
Patient: No.
Doctor: How about nausea or vomiting?
Patient: No.
Doctor: And any changes to your urinary habits, like pain or?
Patient: Uh no, nothing like that.
Doctor: Okay, and um, how has your appetite been?
Patient: Um, it hasn't been the greatest because I haven't been feeling well, but I've still been eating.
Doctor: Okay, have you had any weight loss over the last several months?
Patient: Um, no, not that I've noticed.</x:t>
  </x:si>
  <x:si>
    <x:t xml:space="preserve">V074</x:t>
  </x:si>
  <x:si>
    <x:t xml:space="preserve">[...earlier consultation omitted...]
Doctor: OK, and has she mentioned anything about headaches?
Patient: No.
Doctor: OK. And how about any aches or pains anywhere?
Patient: Uh, no, I don't think so.
Doctor: Have you noticed any rashes?
Patient: No.</x:t>
  </x:si>
  <x:si>
    <x:t xml:space="preserve">OK. So just to recap, she has a harsh cough for two days, pink eye yesterday, possible sore throat, slightly decreased appetite, and felt hot but no fever taken. No wheezing, sputum, blood, congestion, loss of smell or taste, changes in urination or bowel movements, stomach pain, nausea, vomiting, headaches, aches, pains, or rashes. Is that correct?</x:t>
  </x:si>
  <x:si>
    <x:t xml:space="preserve">Doctor: Would you mind by starting to tell me what brought you in?
Patient: Sure, my 5 year old daughter, I noticed that she's been coughing a lot over the past two days. She sounds like she has a stuffy nose and now she's got this pink eye so I just wanted to get it checked out by you.
Doctor: Yeah, for sure. So the cough started 5 days ago?
Patient: Two days ago.
Doctor: OK and is the cough barky or harsh sounding?
Patient: Yes, it sounds harsh.
Doctor: OK, alright was there anything that changed two days ago that might have triggered the cough?
Patient: I don't think so, although she does go to daycare.
Doctor: OK, uh and so has she been bringing up any sputum with the cough?
Patient: No, no sputum that I've noticed.
Doctor: OK, notice any blood?
Patient: No.
Doctor: Alright, and is the cough worse at any particular time of day?
Patient: No.
Doctor: OK, and has there been any wheezing?
Patient: No, not that I noticed.
Doctor: OK. And you mentioned the red eyes. When did you notice that?
Patient: That was just yesterday.
Doctor: OK, any discharge from the eyes?
Patient: No.
Doctor: OK, nothing like that? No tearing or anything like that?
Patient: No.
Doctor: OK. Umm and has she complained about any like changes to vision?
Patient: No, not really, just the pain.
Doctor: No. OK, uh, and how about any itchiness in the eyes?
Patient: She's been rubbing it and so it's possibly itchy.
Doctor: OK. And have you noticed any mucus coming out?
Patient: Umm, no, it's actually stuffy.
Doctor: OK
Patient: Yeah, not so much mucous.
Doctor: OK, has she mentioned anything about losing smell?
Patient: No.
Doctor: OK, umm and has she mentioned anything about being congested?
Patient: She just sounds like she's congested.
Doctor: OK. Umm any sore throat?
Patient: Umm, possibly.
Doctor: OK, how has she been eating?
Patient: Um, she's been eating OK. I guess she's been eating alittle less than usual.
Doctor: OK umm, would you say that she's been going to the bathroom as often as normal?
Patient: Yep, I would say so.
Doctor: No changes there, OK. Um and has she had any loss of taste?
Patient: Umm, possibly since she's not eating as much.
Doctor: OK. Any fevers or chills?
Patient: Um, she did feel a little bit hot, but I didn't take her temperature.
Doctor: OK, so hot. We will definitely check for fever today. Any night sweats?
Patient: Umm, no.
Doctor: OK. And has she been gaining weight OK?
Patient: Yep, Yep, no change, nothing abnormal there.
Doctor: OK, and has she been complaining about having any stomach pains?
Patient: Umm, no.
Doctor: OK, has she had any nausea or vomiting?
Patient: Um no no.
Doctor: OK, and how about any painful urination?
Patient: No.
Doctor: OK, and any diarrhea?\
Patient: Umm, no.
Doctor: OK, and has she mentioned anything about headaches?
Patient: No.
Doctor: OK. And how about any aches or pains anywhere?
Patient: Uh, no, I don't think so.
Doctor: Have you noticed any rashes?
Patient: No.</x:t>
  </x:si>
  <x:si>
    <x:t xml:space="preserve">V075</x:t>
  </x:si>
  <x:si>
    <x:t xml:space="preserve">[...earlier consultation omitted...]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x:t>
  </x:si>
  <x:si>
    <x:t xml:space="preserve">Nothing like, well, a little bit of nausea maybe, but no vomiting.</x:t>
  </x:si>
  <x:si>
    <x:t xml:space="preserve">OK. And how about fevers or chills?</x:t>
  </x:si>
  <x:si>
    <x:t xml:space="preserve">Doctor: I just wanted to start with what brings you here today to the family clinic?
Patient: Hi, this morning I read after I woke up by I coughed up some phlegm and there was some blood in it and it it totally scared me.
Doctor: OK, and was this the first time that happened?
Patient: Uhm, yeah, I've never I never noticed blood in my sputum before.
Doctor: OK, but have you been coughing recently?
Patient: Uh yeah, I have, uh, had a cough recently leading up to this.
Doctor: OK, and how long have you had the cough for?
Patient: Uhm, I've had it for uhm, yeah, about about four weeks.
Doctor: Wow, four weeks. OK. Do you know if you did anything prior to that, any new exposures or being around someone ill like anything like that that might have caused your cough?
Patient: Yeah, I was just down in a, I went to Haiti on a on a trip for a, for a volunteer program with my school and I don't know I definitely notice there is a lot of people down there coughing.
Doctor: OK, and were you at all living like close quarters or were you crammed into like like smaller spaces at all when you were there?
Patient: Yeah, we were kind of like living with the locals while we while we were there. It was part of the experience for volunteering. I was there for almost two months as part of, part of my my summer break through University.
Doctor: OK, and did you notice, uh, at all any potential exposures to tuberculosis? Anyone there that had tuberculosis? Or found out later?
Patient: Yeah, there were definitely some people around that I heard of who who mentioned tuberculosis, but I don't know if anybody specifically who had it.
Doctor: OK. And the cough that you've been having for the last four weeks at, is it like a wet cough? Are you producing any sputum or phlegm, or is it more of a dry cough?
Patient: Uh, I have been producing some phlegm, um, but it's been just kind of white, yellowish.
Doctor: Up until this morning?
Patient: Yeah or moreso clear actually, up until today where I saw some blood.
Doctor: OK. And how much blood was in the phlegm? Was it like a significant amount it filled the whole production or just little streaks?
Patient: Um it was pretty red. It, ah, yeah it was bright red and it was covering the, the issue.
Doctor: OK and have you had any similar episodes before?
Patient: I've never brought up blood before.
Doctor: And after this morning, was that the only time you had that or did you did it recur at all?
Patient: Um, it was just that time just this morning on the tissue and then a little bit in the toilet and it looked like a lot in the in the water.
Doctor: OK, I see and how often are you coughing in like an average day? Are you coughing throughout the day or does it come and go?
Patient: Uhm, it's been pretty severe through throughout the day. I've been just coughing or coughing a ton.
Doctor: OK, anything that makes your coughing go away or makes it worse at all?
Patient: Not-nothing seems to help. I've tried various over the counter medications and and stuff for, for cough and nothing has seemed to help it.
Doctor: OK, and are you having any other symptoms at all, like shortness of breath, sore throat, runny nose, anything like that?
Patient: Uhm, nothing like like that. I mean the back of my throat, might feel a little itchy from the coughing, but not really sure.
Doctor: OK. Are you having any headaches or nausea or vomiting?
Patient: Nothing like, well, a little bit of nausea maybe, but no vomiting.</x:t>
  </x:si>
  <x:si>
    <x:t xml:space="preserve">V076</x:t>
  </x:si>
  <x:si>
    <x:t xml:space="preserve">[...earlier consultation omitted...]
Doctor: OK. And and is there any family history of lung conditions or heart conditions?
Patient: Nope.
Doctor: No OK, how about cancers?
Patient: No cancers that run in the family, no.
Doctor: OK OK, so you mentioned you moved to Canada from India about a year back. Where do you live now?
Patient: So I live in it's, we have like a student house with some of the students who came from India as well, and there's six of us living together in in a house.</x:t>
  </x:si>
  <x:si>
    <x:t xml:space="preserve">So I live in it's, we have like a student house with some of the students who came from India as well, and there's six of us living together in in a house.</x:t>
  </x:si>
  <x:si>
    <x:t xml:space="preserve">OK. And is it a house or an apartment?</x:t>
  </x:si>
  <x:si>
    <x:t xml:space="preserve">Doctor: What brings you in today?
Patient: So I've been having just a worsening breathlessness. I've been also having a cough, and I think I might have also had a fever in the last couple weeks.
Doctor: OK, um so the breathlessness started six weeks ago, correct?
Patient: Yeah.
Doctor: OK and then when did the cough start?
Patient: I'd say around the same time the breathlessness started, so around six weeks.
Doctor: OK. And then the fever?
Patient: The fever I've kind of had on and off in the last couple weeks. I would say two to three weeks.
Doctor: OK, OK um and do you, how often are you having this breathlessness?
Patient: Um I would say it's pretty much there most of the time. It sometimes gets worse when I'm exerting myself, but I think just baseline, I feel like I've been able to breathe less heavily than before.
Doctor: OK, so alright, and how long does it last when you do get it? Or is it just always there?
Patient: Uh, it's kind of just there, but then when it's getting worse like it lasts a couple minutes to, I would say like 10 to 15 minutes and then it goes back to like just the normal breathlessness.
Doctor: OK, and if you were to describe the quality of your breathlessness, would you say that it feels like a kind of like a burning feeling, like you're having a hard time catching your breath or does it feel like you're breathing too fast?
Patient: I think it's more I just can't seem to take like deep breaths. And then when I get breathless, I I really try to take a deep breath but I just can't find myself catching my breath at that time. So it's just more not being able to catch my breath.
Doctor: OK, sure. And are there things that make make it better or worse?
Patient: Uh, not really, I think it's sometimes moving around too much, but like nothing, nothing really causes it.
Doctor: OK, um, and was there any sort of trigger six weeks ago that you think may have like caused all of your symptoms?
Patient: Oh I'm not sure I I don't think there was any triggers.
Doctor: OK, has anyone around you been sick?
Patient: So there there are some people living in my house that have a bad cough over the last few weeks.
Doctor: OK.
Patient: So yeah.
Doctor: So they have similar symptoms to you as well then?
Patient: Yeah, some of them like don't really have the shortness of breath and it's just like a cough.
Doctor: OK.
Patient: But yeah, there are some of them also have some shortness of breath.
Doctor: OK, OK. And have you traveled anywhere recently?
Patient: So I actually came to Canada one year ago. I'm originally from India and I I'm I came here to study.
Doctor: OK. OK, um alright. If you were to rate your breathlessness from one to 10, 10 being the worst, how bad is your breathlessness?
Patient: It can get pretty bad. Like I I would say up to an 8 sometimes, maybe a couple times a week.
Doctor: OK, and have you ever experienced this before?
Patient: No, this is like the first time I'm having this issue.
Doctor: OK, and do you feel like it's getting worse, better, has it changed since you started having these symptoms?
Patient: I think it's getting worse and that's why I was getting a bit scared and I came here.
Doctor: OK. Yeah, that was a good call and have you had any changes to your smell recently?
Patient: No, no changes to smell.
Doctor: Any anything like a runny nose or stuffy nose?
Patient: Uh, no, not really, no.
Doctor: No? OK, how about a sore throat?
Patient: No, no sore throat.
Doctor: No sore throat, any changes to your taste?
Patient: Nope.
Doctor: Any changes in hearing?
Patient: Nope.
Doctor: Ear pain or discharge from your ears?
Patient: No, nothing like that.
Doctor: OK, any eye pain?
Patient: No.
Doctor: Changes in your vision?
Patient: Nope.
Doctor: Any discharge from your eyes?
Patient: Nope.
Doctor: OK, and you mentioned fever and some night sweats. How often are you getting these night sweats and do they feel like chills?
Patient: I think in the last two weeks I've been getting it more frequently, like I would say every other night I I feel, I would feel chilly at one point and then I'll break out into night sweats or have to take off my blanket. I think I measured it once or twice over the week and it did show like a fever of 102.
Doctor: OK, OK. OK, and any changes to your skin like rashes?
Patient: No, nothing like that.
Doctor: Any weight loss?
Patient: I would say I think I'm losing a little bit of weight over the last couple weeks. I haven't really weighed myself, but I feel that I have lost some weight.
Doctor: OK yeah, and the coughing, are you coughing up any blood?
Patient: Uh, I don't think so. Sometimes, like when I cough up like sputum, there is like a little bit of pink, pink tinged sputum as well. Sometimes it's like brownish in color and sometimes it's green, but I haven't actually coughed up any blood.
Doctor: OK, um and you said there's some sputum like pink tinged sputum. How much sputum would you say you cough up every time you cough?
Patient: Maybe like a like a spoonful I would say.
Doctor: OK. And do you ever feel like you're wheezing?
Patient: Uh, no, I I don't think so. I I don't really notice any noises when I'm breathing.
Doctor: OK. And, alright, so any chest pain?
Patient: No, no chest pain at all.
Doctor: OK. How about swelling in your legs or in your limbs?
Patient: No, no swell leg swelling.
Doctor: No leg swelling? OK, um how about do you feeling like your heart's racing?
Patient: No.
Doctor: No OK. OK, and any nausea or vomiting?
Patient: No, no nausea or vomitting.
Doctor: How about changes in your bowel movements?
Patient: No.
Doctor: OK, how about changes in urinating?
Patient: No, it's been fine.
Doctor: Alright any headaches?
Patient: No headaches.
Doctor: Any dizziness or fainting spells?
Patient: No, nothing like that.
Doctor: OK, no confusion or memory loss?
Patient: No.
Doctor: OK, and are you otherwise healthy? Do you have any medical conditions?
Patient: Um I think when I was back in India a couple years ago, they did give me some antibiotics for like a chest infection, but I couldn't really afford the medications and didn't take them. I didn't finish the course, but other than that, nothing else.
Doctor: OK, did they mention what type of chest infection it could've been?
Patient: No, I don't really remember. I think it was some kind of pneumonia.
Doctor: OK, OK. Are you on any medications?
Patient: Just uh I take Tylenol sometimes, like it hasn't really been helping.
Doctor: OK. And, are you allergic to anything?
Patient: No, not that I know.
Doctor: OK, are you up to date with all your immunizations?
Patient: Yeah, as far as I know.
Doctor: OK. And and is there any family history of lung conditions or heart conditions?
Patient: Nope.
Doctor: No OK, how about cancers?
Patient: No cancers that run in the family, no.
Doctor: OK OK, so you mentioned you moved to Canada from India about a year back. Where do you live now?
Patient: So I live in it's, we have like a student house with some of the students who came from India as well, and there's six of us living together in in a house.</x:t>
  </x:si>
  <x:si>
    <x:t xml:space="preserve">V077</x:t>
  </x:si>
  <x:si>
    <x:t xml:space="preserve">[...earlier consultation omitted...]
Doctor: Alright, and you mentioned that things are going well at school. Um, who do you live with at home?
Patient: Yeah so I live with my older sister, and my mom and dad.
Doctor: Okay, okay. And things are good at home? Do you feel safe?
Patient: Yeah, yeah, I feel completely safe.
Doctor: Any concerns about bullying at school?
Patient: No, no, not at all.</x:t>
  </x:si>
  <x:si>
    <x:t xml:space="preserve">No, no, not at all.</x:t>
  </x:si>
  <x:si>
    <x:t xml:space="preserve">I'm going to ask you a few questions about your cough.</x:t>
  </x:si>
  <x:si>
    <x:t xml:space="preserve">Doctor: Um, what brings you in today?
Patient: Uh yeah, hi, I just came in here today cause uh, lately, for the last couple of months, I've been getting these coughing fits. They don't really seem to be going away and I was a bit concerned.
Doctor: So you've had this, when did this start?
Patient: Uh, I would say probably during the winter uh it, it kind of started, where I started having um, just coughing fits when I'm walking to school and then also during like gym class I started having these coughing fits and sometimes I also felt like I couldn't breathe.
Doctor: Um, okay. Okay, what did you, is there anything, so it's basically worse when you're um, doing some sort of an exercise such as walking um, or being in the gym class, and it's also worse in the cold?
Patient: Yeah. Yeah, and then also like, I remember when I was walking down the street and someone was smoking and then I just completely just started having that episode right after I walked past them.
Doctor: Okay um, alright. Uh um okay, sorry, one moment. Okay um, so is there anything that makes your cough better? What do you do to make it go away?
Patient: Uh, I just basically have to, if I, if I'm doing any kind of activities, just take a moment, sit down for like 10 to 15 minutes and then it seems like it goes away on its own.
Doctor: And you said that sometimes you also have difficulties breathing with it?
Patient: Yeah, like a couple of times it got really bad where I had to um like, it was difficult get, it was, it was like I was trying to take deep breaths for air, but uh it was, it just felt like I couldn't.
Doctor: I see. So this started a couple of months ago, has this ever happened to you before that?
Patient: No, before that I've been fine.
Doctor: Okay, and so I'm going to ask you about a couple other symptoms. Let me know if you've experienced any of these in the past couple of months. Um, so have you had a headache that accompanies the cough?
Patient: Uh no.
Doctor: Um, any changes in your vision or your hearing?
Patient: No.
Doctor: Any confusion?
Patient: No.
Doctor: Um any, um, runny nose or stuffy nose or sinus congestion?
Patient: Uh no, not really.
Doctor: Okay, any sore throat?
Patient: Uh no.
Doctor: Any um, chest pain?
Patient: Um, sometimes when I get like really bad coughing fits, like it sometimes starts hurting in my chest as well.
Doctor: Yeah. Um, does it go away when you stop coughing?
Patient: Yeah, it goes away after, I just take some rest.
Doctor: Um, have you had any belly pain?
Patient: Uh no, not at all.
Doctor: Do you feel like your heart's racing?
Patient: Uh, no.
Doctor: Any changes in your, any nausea or vomiting?
Patient: No.
Doctor: Any changes in your bowel movements?
Patient: No.
Doctor: Any acid reflux?
Patient: Uh, no.
Doctor: Okay, um, and any certain muscle aches or joint pains?
Patient: Um no, nothing like that.
Doctor: Any numbness or tingling in your arms or legs?
Patient: No.
Doctor: Okay, let's get back. Okay, great, it sounds like that the, the cough is sort of the main symptom here that you have. Um, is the cough dry or wet?
Patient: It's usually uh, it's usually dry.
Doctor: Uh sorry, can you say that again?
Patient: It's usually dry.
Doctor: Okay um, have you ever brought up any sputum or any blood?
Patient: Uh never any blood, I have like on occasion, like sometimes brought up some sputum.
Doctor: Okay, alright. Um okay, and, uh, have you been vaccinated?
Patient: Uh, yeah, all my immunizations are up to date.
Doctor: Okay, good good good. Um, does the cough sound like a barky cough or a muffled cough, or um, does it have a specific characteristic? Does it sound different than when you're sort of coughing to clear your throat, for instance?
Patient: Uh yeah, it's like pretty, it can get pretty harsh. I also noticed like uh, there's like this weird noise I started making like right after when I'm trying to take deep breaths in.
Doctor: Okay, okay. Okay, so you're wheezing. Okay, so you ever um, cough so much that you end up vomiting?
Patient: No, no that hasn't happen yet.
Doctor: Um, and do you, so you mentioned that it's worse when you're in the cold or exercising, and smoking makes it worse? What about things like dust or pollen? Um, say when you're cleaning the house and there's also dust, does that make things worse, or is it worse in a specific time of the year when you're outdoors?
Patient: Uh, now that you mention it, yeah, like if we're ever in the basement or anything like that, I, I do start getting like kind of irritation um, in my throat, and that kind of, sometimes I have also coughed at those times.
Doctor: Alright. Uh, can you tell me, okay so, can you tell me if you have any medical conditions that you've been diagnosed with?
Patient: No, nothing else, I've been pretty healthy.
Doctor: Okay. Had, did, when you were a child, did you have any sort of rash? Did you have eczema?
Patient: Oh I, yeah, so I did I, at one point I was using like this cream um, probably when I was ten. Just for some eczema on my hands.
Doctor: Okay. And um, have you ever had allergic rhinitis, which is basically sort of having um, red or teary eyes, itchiness on the face, a runny nose at certain times of the year, or in um, areas with mold or dust, or termites and things like that? Have you had anything like that as a child or right now?
Patient: Uh, not that I know of, no.
Doctor: Okay. Alright, uh do you have any, um, I guess going back, were you a healthy child, growing up?
Patient: Yeah, as far as I know, I, I didn't really have any concerns from like the school or home at all.
Doctor: Okay, that's great. Do you uh, did you ever have any hospitalizations?
Patient: No.
Doctor: Any surgeries?
Patient: No.
Doctor: Are you taking any medications?
Patient: Uh, no medications.
Doctor: Are you still using the eczema cream?
Patient: No, no. That kind of just went away on its own, or like right after I used the cream. Like it's good now.
Doctor: Okay, good. Are you allergic to anything?
Patient: No, I don't think so. Maybe just like environmental allergies sometimes, in the springtime.
Doctor: What happens then?
Patient: Um, just sometimes like uh, I don't know if it's like a pollen allergy like I, I do get some, I guess I do get like some nasal congestion and things like that.
Doctor: Um, have you ever seen an allergist?
Patient: No, I haven't.
Doctor: No. Uh, who prescribed the cream for the eczema?
Patient: Um, just a, it was like at a walk-in clinic.
Doctor: Okay, okay. Um alright, and do you have any family history of any um, lung-related problems? Or any other problems?
Patient: Um, my older sister has asthma, and uh, I don't know if anyone else in the family has asthma. Um, I think my father has high blood pressure.
Doctor: Alright, and you mentioned that things are going well at school. Um, who do you live with at home?
Patient: Yeah so I live with my older sister, and my mom and dad.
Doctor: Okay, okay. And things are good at home? Do you feel safe?
Patient: Yeah, yeah, I feel completely safe.
Doctor: Any concerns about bullying at school?
Patient: No, no, not at all.</x:t>
  </x:si>
  <x:si>
    <x:t xml:space="preserve">V078</x:t>
  </x:si>
  <x:si>
    <x:t xml:space="preserve">[...earlier consultation omitted...]
Doctor: OK, and when was his last asthma exacerbation?
Patient: Last year.
Doctor: OK, has he ever needed to be hospitalized for one?
Patient: Oh no, no, nothing like that, he's a healthy kid.
Doctor: OK, that's good, has he had any surgeries before?
Patient: No.</x:t>
  </x:si>
  <x:si>
    <x:t xml:space="preserve">Doctor: Has he had any fever, and is he with you now so I can assess his breathing and how hard he’s working to breathe?</x:t>
  </x:si>
  <x:si>
    <x:t xml:space="preserve">Doctor: How can I help you?
Patient: Hi, my son Dave who's 5 years old, who comes to the clinic quite often, has uh, his asthma has been really bad over the past few days. I've tried his puffers, but they're not really helping much, and I'm just worried about him.
Doctor: So what symptom is he experiencing now?
Patient: Uhm so, he's just having this wheezing that just doesn't go away, like, I can actually hear it, it's frightening, he's having like he's having difficulties falling asleep, he's just been very irritable, uhm, he didn't go to school yesterday. It's just, yeah, it's just, it seems like, it's just, he's not eating well either.
Doctor: OK, so yeah, it's been affecting, uh, sleep, appetite, his mood, has he been short of breath?
Patient: If he was like, he said that he was having some difficulty breathing, yeah.
Doctor: OK, has he, uh, able to talk like in full sentences, like, how is he right now?
Patient: Yeah, he's  able to talk in full sentences but he just gets a little bit breathless when he's eating, which I think is probably why he's not eating much. But yeah, he's able to talk, he's not talking much either, just been like, just been in a mood, you know, he gets a little bit breathless when he's crying.
Doctor: OK, I see, and, has he had a cough?
Patient: Yeah he does, he does have a cough, yeah.
Doctor: OK, and when did the cough start?
Patient: I want to say about two days ago.
Doctor: OK, and has he been bringing up any sputum?
Patient: No.
Doctor: Or any blood?
Patient: No no no.
Doctor: OK, and has the cough been getting any better or any worse?
Patient: It's been the same.
Doctor: OK, uhm, and has he complained of having a sore throat or painful ears?
Patient: No, he hasn't complained of those.
Doctor: OK, and have you noticed any eye redness or or any discharge from his eyes or nose?
Patient: No.
Doctor: OK, and has he been having any chest pain?
Patient: Uh, no.
Doctor: OK, and you mentioned, uh, a wheeze, have you been able to hear a wheeze like this before?
Patient: It's usually not this bad.
Doctor: OK, has he been having any abdominal pain?
Patient: No.
Doctor: Any nausea or vomiting?
Patient: No.
Doctor: Has he had any urinary problems like, painful when he's going to the bathroom?
Patient: No, he hasn't complained of anything like that.
Doctor: I see, OK, and has he had any diarrhea or Constipation?
Patient: No.
Doctor: OK, has he had any skin changes or rashes?
Patient: No, no, I checked for those very carefully. He used to get rashes when he was a child, but no, he doesn't, he doesn't have anything right now.
Doctor: Alright, and has he had any muscle aches or joint pains?
Patient: Uh, he's just been, he's just been not, he's not been as active as he usually is, so I don't, he hasn't said that any anything in particular about muscle pains, but I don't know if he knows how to, you know? He's just been, yeah.
Doctor: OK, and two days ago, can you think of any triggers like, was there any exposure to dust or smoke or maybe even pets that could have brought this on?
Patient: Yeah, you know, if I think about it, he did go outside to play with his brother and, I don't know he might have got something out there maybe.
Doctor: Yeah, uh, certainly possible and was it like a particularly cold day?
Patient: Yeah, it was a very windy, little bit chilly too.
Doctor: And when, like, during the winter time, does cold air trigger attacks for Dave?
Patient: Oh yeah.
Doctor: OK, and how about exercise?
Patient: No, I don't think, well, they went outside to play, so I mean he was, uhm, exercise does make it worse sometimes, so it could be that too.
Doctor: OK, and so, has dave been experiencing any other symptoms besides the the wheezing and the irritability and what you've described so far?
Patient: No, I don't think so, that's, I think that's it.
Doctor: OK, you tried some inhalers, how often have you been using them?
Patient: Yeah, we used his blue inhaler about five times yesterday, and another two or three times earlier today.
Doctor: OK, and do you use a spacer?
Patient: Uhm, no we don't. I have to go get that and learn how to use it.
Doctor: OK, for sure we can go through, Uh, the proper technique, throughout this visit as well, just to review that again.
Patient: I would love that.
Doctor: That's great, and has he been using any other medications to help over these last couple of days besides the inhalers?
Patient: No, just the inhalers, we've also kept it the usual one, the one that he takes, the other inhaler.
Doctor: OK, does he have one that he uses, once, like, he uses daily?
Patient: Yeah, yeah the one that he uses, I think the orange one.
Doctor: OK, so he does use a steroid inhaler?
Patient: Yeah.
Doctor: OK, and does he have any allergies?
Patient: Uhm, no he doesn't.
Doctor: OK, and does he have any medical conditions that have diagnosed previously?
Patient: Just the dermatitis and asthma?
Doctor: OK, and when was his last asthma exacerbation?
Patient: Last year.
Doctor: OK, has he ever needed to be hospitalized for one?
Patient: Oh no, no, nothing like that, he's a healthy kid.
Doctor: OK, that's good, has he had any surgeries before?
Patient: No.</x:t>
  </x:si>
  <x:si>
    <x:t xml:space="preserve">V079</x:t>
  </x:si>
  <x:si>
    <x:t xml:space="preserve">[...earlier consultation omitted...]
Doctor: OK, and is the pain sharp, burning or achy?
Patient: I think it's it's. It's sharp.
Doctor: A sharp pain, OK and does the pain radiate anywhere else like pain in the hand or wrist, or pain up into the arm or shoulder?
Patient: I don't think so.
Doctor: OK, and has there been like was there anything that happened around the time that you first noticed her holding her arm like this, such as a fall, or maybe like somebody pulling on on her hand like swinging her from her arm or anything like that?
Patient: Um I know her father was swinging her arms yesterday, They were playing in the park, so maybe.</x:t>
  </x:si>
  <x:si>
    <x:t xml:space="preserve">Um I know her father was swinging her arms yesterday, They were playing in the park, so maybe.</x:t>
  </x:si>
  <x:si>
    <x:t xml:space="preserve">OK, so just uh, she's swinging from arms yesterday, OK and. Has she talked about having any numbness or tingling?</x:t>
  </x:si>
  <x:si>
    <x:t xml:space="preserve">Doctor: How may I help you?
Patient: Hi, I'm here with my 3 year old daughter and she's been holding her elbow awkwardly and um she seems like she's in pain and so I was just wondering if like something happened to her elbow and if you can fix it.
Doctor: Yeah for sure. OK so. Is she holding her arm, like any particular position, like with her elbow, kind of flexed or is her arm extended?
Patient: It's it seems kind of flex is holding it awkwardly and she can't she she's not, she's not stretching it.
Doctor: OK, uhm. And when did this start, when did you first notice?
Patient: I notice this yesterday.
Doctor: OK. And and I, had she been holding her, her arm, kind of like this the whole time?
Patient: Yeah, there's just like a slight bend to it. It's not fully straightened. It's not fully like fully flexed. It's just kind of hanging out her side.
Doctor: OK, um and. Has there been anything that's made the pain worse?
Patient: Uhm no, I don't think so, I think. No, I think she she's just been holding it awkwardly like that I I'm assuming so it doesn't cause more pain.
Doctor: OK, and is the pain sharp, burning or achy?
Patient: I think it's it's. It's sharp.
Doctor: A sharp pain, OK and does the pain radiate anywhere else like pain in the hand or wrist, or pain up into the arm or shoulder?
Patient: I don't think so.
Doctor: OK, and has there been like was there anything that happened around the time that you first noticed her holding her arm like this, such as a fall, or maybe like somebody pulling on on her hand like swinging her from her arm or anything like that?
Patient: Um I know her father was swinging her arms yesterday, They were playing in the park, so maybe.</x:t>
  </x:si>
  <x:si>
    <x:t xml:space="preserve">V080</x:t>
  </x:si>
  <x:si>
    <x:t xml:space="preserve">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x:t>
  </x:si>
  <x:si>
    <x:t xml:space="preserve">Sure</x:t>
  </x:si>
  <x:si>
    <x:t xml:space="preserve">Okay, so when did this start? How long has he been having these symptoms?</x:t>
  </x:si>
  <x:si>
    <x:t xml:space="preserve">V081</x:t>
  </x:si>
  <x:si>
    <x:t xml:space="preserve">[...earlier consultation omitted...]
Doctor: OK, anything new at all that he has either eaten or any new clothing or new laundry detergent or soap, so anything at all?
Patient: No no.
Doctor: OK. OK, And has he had any fevers or chills anything like that?
Patient: Uh, he has been feeling a little bit warm. I didn't really check his temperature.
Doctor: And. And busy so, it started three days ago. Anything happened before 3 days at all that might have caused the symptoms?
Patient: I don't think so. As I said, he has been playing around with others so could have caught something?</x:t>
  </x:si>
  <x:si>
    <x:t xml:space="preserve">I don't think so. As I said, he has been playing around with others so could have caught something?</x:t>
  </x:si>
  <x:si>
    <x:t xml:space="preserve">OK, and how old is your son?</x:t>
  </x:si>
  <x:si>
    <x:t xml:space="preserve">Doctor: What brings you in here today?
Patient: Hey, I'm I'm the mom of, of the patient. He's he's a kid, he has had, he just had a cough and stuffy nose for the past three days.
Doctor: OK, and so did they both start around the same time or one started before the other?
Patient: They started the same time. He's also had like these, these, his eyes have been like kind of red and watery as well.
Doctor: OK, and is he, what kind of cough is he having a dry cough or wet cough?
Patient: It's a dry cough.
Doctor: Dry cough, OK and and so with the congestion is he also having any kind of nasal drainage?
Patient: Yeah, it's it's like watery.
Doctor: Watery OK so now are you noticing any kind of yellow or greenish material?
Patient: No.
Doctor: OK, and he hasn't, is he coughing up any blood at all at any point?
Patient: No no no.
Doctor: And so this started just recently three days ago. Was he in contact with anyone that's been sick recently?
Patient: I don't think so, but he has been like playing outside quite a bit. And sometimes he's just playing with the neighbours kids.
Doctor: OK. Has this happened before?
Patient: Yeah it has, but I guess what I'm concerned about is the rash that he has now that he's never had before.
Doctor: OK, and where is the rash, exactly?
Patient: It's on his face. It started this morning.
Doctor: OK, and can you describe the rash for me like it's color, shapes, and what kind of looks like?
Patient: Small really small dots like kind of, uhm, like I'd say like brown in color. Like brownish dark reddish.
Doctor: OK, let's just are they just located on his face?
Patient: Yeah, like it was on his face and it's kind of a little bit on his neck.
Doctor: OK, uh and is he scratching at them at all?
Patient: Yeah.
Doctor: OK, Um, OK and so they just started today. Have you had these rashes before at all?
Patient: No, no he hasn't.
Doctor: OK, anything new at all that he has either eaten or any new clothing or new laundry detergent or soap, so anything at all?
Patient: No no.
Doctor: OK. OK, And has he had any fevers or chills anything like that?
Patient: Uh, he has been feeling a little bit warm. I didn't really check his temperature.
Doctor: And. And busy so, it started three days ago. Anything happened before 3 days at all that might have caused the symptoms?
Patient: I don't think so. As I said, he has been playing around with others so could have caught something?</x:t>
  </x:si>
  <x:si>
    <x:t xml:space="preserve">V082</x:t>
  </x:si>
  <x:si>
    <x:t xml:space="preserve">[...earlier consultation omitted...]
Doctor: OK, um how about autoimmune conditions?
Patient: Uh no, I don't think so.
Doctor: No, OK. Um any um, do you do you do any smoking?
Patient: Uh no, I've tried uh like smoking marijuana in the past, but didn't really like it, so I've stayed away from that.
Doctor: OK, how about um other recreational drugs?
Patient: Uh no, no, I I I haven't used anything like that before.</x:t>
  </x:si>
  <x:si>
    <x:t xml:space="preserve">Uh no, no, I I I haven't used anything like that before.</x:t>
  </x:si>
  <x:si>
    <x:t xml:space="preserve">Doctor: OK. How about alcohol—how much do you typically drink in a week?</x:t>
  </x:si>
  <x:si>
    <x:t xml:space="preserve">Doctor: What brings you in?
Patient: Hi, I've I've had um this pain in my left knee that's been going on now for the last uh three or four months um but it's gotten a bit a bit worse, it used to only really bug me while I was doing activity, and now its started to uh hurt even more um afterwards as well, so I'm getting the pain at at rest. and so I wanted to come and get that checked out.
Doctor: OK yeah, for sure. Um and you said it started a few weeks ago?
Patient: Uh well, I think it first started a few months ago, but in the past couple of weeks it has started to um kinda like last longer and and happen at rest as well.
Doctor: Yeah, and so does anything make it worse or better? I assume doing any sort of physical activity makes it worse and rest makes it better, but how about anything other than that?
Patient: Uhm not really, yeah, it's mostly just the the activity, if I'm going upstairs or um downstairs or uh during running is really where it hurts the most and that's what's bugged me the um yeah, the most, running.
Doctor: OK, OK, and if you were to describe the quality of this pain, would you say sharp, dull, achy, crampy?
Patient: Uh it's a sharp pain, uh almost like every time my foot hits the ground I get like a sharp stabbing pain and while I'm at at rest it feels a bit more dull, while, yeah, yeah while I'm at rest.
Doctor: OK, OK, and 1 to 10, 10 being the worst pain ever, how bad is this pain?
Patient: A six.
Doctor: OK, alright, and have you ever experienced this type of pain before?
Patient: Uh I did have something similar like many years ago. I used to be a rower uh in undergrad and I got some similar pains before, and I mean with some stretching and um other I don't know kind of strengthening stuff, it it kind of helped but I didn't go see anybody for it at that time because it it kind of went away after a little while,
Doctor: OK, OK, um and you said you were, are you still rowing?
Patient: No, no, the only activity that I'm doing now is is running.
Doctor: Running, OK and from when it started to now, in the past couple of weeks has it changed like dramatically, um is it affecting your day to day life?
Patient: Uh a little bit, yeah, like even now, just walking I can I can feel it. Um the pain's not as severe but like as when I'm running but I can, I'm starting to notice it uh daily.
Doctor: OK, alright, and um are you otherwise healthy? Do you have any um symptoms like fevers or chills?
Patient: No, nothing like that.
Doctor: No, any weight loss?
Patient: Uh no weight loss.
Doctor: No, any rashes?
Patient: Uh no rashes.
Doctor: No, uh changes to your uh vision, hearing, taste or smell?
Patient: Uh no changes there.
Doctor: OK. How about a cough, shortness of breath, or um wheezing?
Patient: Nothing like that.
Doctor: OK. How about uh chest pain, heart palpitations?
Patient: No, I haven't had anything like that.
Doctor: OK. Um any changes to your bowel movements?
Patient: No, I haven't had any diarrhea, or yeah, everything's been normal there.
Doctor: OK, nausea or vomiting?
Patient: Nope.
Doctor: No, um how about abdominal pain?
Patient: No, I haven't had any uh any abdominal pain, nothing like that.
Doctor: OK, any changes to your urine?
Patient: No, uh no I haven't had any issues with that.
Doctor: OK, how about uh headaches?
Patient: No, I haven't had any headaches.
Doctor: OK. Um any pain elsewhere on your body?
Patient: Uh nope, I've, it's just my, yeah just my knee.
Doctor: OK, any numbness or tingling in the area?
Patient: No, I haven't had anything like that, it's just the uh sharp pain.
Doctor: OK. How about confusion or memory loss?
Patient: No, I haven't had that.
Doctor: OK. Um any um muscle aches around the knee, like so just above your knee where your quads are or just below?
Patient: Um no, nothing, nothing like that.
Doctor: OK, and are you otherwise healthy? Do you have any longstanding medical conditions?
Patient: Um yeah, I'm otherwise healthy, I it's nothing that I see the doctor for, I've never been diagnosed with anything.
Doctor: OK. Um how about hospitalizations or surgeries in the past?
Patient: Um nothing like that. no.
Doctor: No, OK. Um any medications that you're on?
Patient: Um nope, I I don't take anything just well, no medications, but I do take a like a multivitamin.
Doctor: OK, um are you up to date with all your immunizations?
Patient: I am yeah, I'll get the flu shot each year.
Doctor: OK, how about allergies? Do you have any?
Patient: Um, no, I I don't.
Doctor: No, OK. Um any family history of musculoskeletal issues?
Patient: Uh nope, I don't think so.
Doctor: How about um heart or lung conditions?
Patient: Uh I think my dad has like high blood pressure um and high cholesterol, but uh nobody's had a heart attack or, and no cancer.
Doctor: OK, um how about autoimmune conditions?
Patient: Uh no, I don't think so.
Doctor: No, OK. Um any um, do you do you do any smoking?
Patient: Uh no, I've tried uh like smoking marijuana in the past, but didn't really like it, so I've stayed away from that.
Doctor: OK, how about um other recreational drugs?
Patient: Uh no, no, I I I haven't used anything like that before.</x:t>
  </x:si>
  <x:si>
    <x:t xml:space="preserve">V083</x:t>
  </x:si>
  <x:si>
    <x:t xml:space="preserve">[...earlier consultation omitted...]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x:t>
  </x:si>
  <x:si>
    <x:t xml:space="preserve">Yeah, so she she did start to cough actually after that so that the cough has been there for the last, for the last maybe two to three days. It's a dry cough.</x:t>
  </x:si>
  <x:si>
    <x:t xml:space="preserve">Has she had any fever, sore throat, trouble breathing, wheezing, or ear pain?</x:t>
  </x:si>
  <x:si>
    <x:t xml:space="preserve">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x:t>
  </x:si>
  <x:si>
    <x:t xml:space="preserve">V084</x:t>
  </x:si>
  <x:si>
    <x:t xml:space="preserve">[...earlier consultation omitted...]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x:t>
  </x:si>
  <x:si>
    <x:t xml:space="preserve">Yeah no, I'm otherwise I um I don't, I'm really healthy. I don't take any medications so this was something that happened out of the blue.</x:t>
  </x:si>
  <x:si>
    <x:t xml:space="preserve">OK. Um, have you had any immunizations recently?</x:t>
  </x:si>
  <x:si>
    <x:t xml:space="preserve">Doctor: What brings you in?
Patient: Yeah, so I just came in today uh a bit concerned. Uh I've been just having this nasty cough for like the last week and then today morning uh, like I thought the cough would just go away, but today morning I also noticed I'm coughing up some blood.
Doctor: Oh, OK.
Patient: Yeah.
Doctor: So when did you first start coughing?
Patient: Um, so let me think uh I just returned from a mission trip uh to the Philippines 2 weeks ago. This cough started uh just last week, so I would say around six to seven days.
Doctor: OK. And that and the blood in your cough, um that was about yesterday, you said? Or?
Patient: Yeah today, uh.
Doctor: Today, OK. OK. Um are you bringing up any phlegm at all, besides the blood?
Patient: Uh no it's just uh like I saw it on my hand, like there wasn't anything, like my cough is like pretty dry.
Doctor: OK, are you short of breath at all?
Patient: No, I'm not short of breath. Um just, it's just the cough.
Doctor: OK, and are you having any wheeziness?
Patient: Uh no wheeziness.
Doctor: OK. Um any runny nose or stuffy nose?
Patient: No, no uh runny or stuffy nose.
Doctor: Changes in vision, hearing, smell, or taste?
Patient: Nope.
Doctor: Uh weight loss?
Patient: Um I have noticed uh weight loss over the last uh, I would say few months. So I've been I've been doing like like I I came back from Philippines last week, but um, I had gone earlier, like during this year or two and I've kind of noticed this weight change, probably lost around 15 pounds within the last few months.
Doctor: 15 pounds OK. Wow, that's a lot, yeah. Um any night sweats?
Patient: Um no, I don't think so, no.
Doctor: Any fevers or chills?
Patient: I did have a, I did have some chills over the last week, um but I didn't really think too much of it.
Doctor: OK, we'll take your temperature today just to make sure. Um any rashes?
Patient: No.
Doctor: Any chest pain?
Patient: No chest pain.
Doctor: Uh swelling in your limbs?
Patient: No.
Doctor: Fainting spells or dizziness?
Patient: No, nothing like that.
Doctor: Confusion or memory loss?
Patient: No.
Doctor: Headaches?
Patient: No headaches.
Doctor: Uh, joint pain?
Patient: No.
Doctor: Fatigue?
Patient: Uh, no.
Doctor: Um, changes in your bowel movements?
Patient: Uh, no. Not at all.
Doctor: No, changes in your urine?
Patient: Nope.
Doctor: Uh, nausea or vomiting?
Patient: No nausea or vomiting.
Doctor: OK, how about abdominal pain?
Patient: No, nothing like that.
Doctor: OK, are you otherwise healthy? Do you have any longstanding medical conditions?
Patient: Yeah no, I'm otherwise I um I don't, I'm really healthy. I don't take any medications so this was something that happened out of the blue.</x:t>
  </x:si>
  <x:si>
    <x:t xml:space="preserve">V085</x:t>
  </x:si>
  <x:si>
    <x:t xml:space="preserve">[...earlier consultation omitted...]
Doctor: Any diarrhea or constipation?
Patient: No.
Doctor: How about any painful urination or feeling as though you need to urinate really frequently?
Patient: Ah no nothing like that.
Doctor: OK, and have you had any skin changes like rashes or anything like that?
Patient: No.</x:t>
  </x:si>
  <x:si>
    <x:t xml:space="preserve">OK. And have you had any joint pain or muscle aches?</x:t>
  </x:si>
  <x:si>
    <x:t xml:space="preserve">Doctor: I was wondering if we could start with you telling us what brought you in?
Patient: Sure, I've had this terrible headache for the past four days. Doesn't seem to be getting any better, and I feel hot like I have a fever. I've been coughing a lot so I am I'm worried I have COVID, so I'm here.
Doctor: OK. So I'll start with the headaches. When did when did that exactly started?
Patient: Uh the headache started, OK so the coughing started four days ago. The headache started shortly after so I would say later on during that day and then the fever I've had for, fever I think I've had for the past two days. I haven't actually taken my temperature though.
Doctor: OK um. So, uh, the cough is started four days ago. Has the cough gotten better, worse, or stayed the same?
Patient: The cough has stayed the same.
Doctor: OK, are you bringing up any phlegm or sputum with the cough?
Patient: Um, it's not really phlegm, but sometimes I cough up, like bits of like. You know little bits that look like blood or something.
Doctor: OK, so you're seeing some like red when when you're coughing up?
Patient: Mmmm
Doctor: OK, and how much of this are you seeing like, is it like a teaspoon amount or or more?
Patient: Oh, it's it's very little. It's like maybe a little bit bigger than like the tip of a pencil.
Doctor: Oh OK, are you, OK, are you seeing this on like kind of tissues afterwards sort of thing?
Patient: Yeah.
Doctor: OK, um and any triggers for the cough you can think of?
Patient: No, it just seems to be there all day. Um, doesn't really get better with me trying to rest or not.
Doctor: OK, and is the cough there at night time too?
Patient: Yes, it is definitely there at night.
Doctor: OK, um is it interfering with sleep?
Patient: Ah yes, I haven't been sleeping well.
Doctor: OK, um, and with your cough have you had any difficulties with breathing?
Patient: Um, no.
Doctor: Alright, and now, how about any wheezing?
Patient: No wheezing.
Doctor: OK. And with this headache when it first came on, did you experience a like worst headache of your life, or a Thunder clap sensation?
Patient: No, it's it's not that bad, but it just seems to be there all day long.
Doctor: OK, um have you had headaches like this before?
Patient: No, I've never gotten headaches in the past.
Doctor: OK, uh is the headache associated with any nausea or vomiting?
Patient: No.
Doctor: OK, and is the headache worse in the morning when you first wake up?
Patient: No.
Doctor: OK, and does it have to get worse if you lie flat?
Patient: No.
Doctor: OK, and has this headache been getting worse, staying the same, getting better?
Patient: It's it's about the same.
Doctor: OK. Um and, um and you haven't checked the temperature yet, you said, but you felt hot?
Patient: Yes, that's right.
Doctor: OK, any other symptoms that you've been experiencing?
Patient: Not that I can think of.
Doctor: OK, there's just a few others that I wanted to ask about to be comprehensive. Have you had any eye pain or ear pain?
Patient: No.
Doctor: How about any discharge from either your eyes or ears?
Patient: No, nothing like that.
Doctor: Alright, have you had any changes to either your sense of smell or your sense of taste?
Patient: No.
Doctor: Alright, and have you had a runny nose at all?
Patient: Um no.
Doctor: And how about a sore throat?
Patient: No.
Doctor: OK, and um, have you had any chills?
Patient: Um no chills.
Doctor: How about night sweats?
Patient: Um no nothing like that.
Doctor: I see, OK and over the last few months has your weight changed?
Patient: Ah no, not that I noticed.
Doctor: OK, um have you been feeling tired or fatigued?
Patient: No.
Doctor: OK, and have you had any chest pain?
Patient: Um no.
Doctor: Alright, and how about any heart palpitations?
Patient: None.
Doctor: Alright, in any episodes of feeling really dizzy or lightheaded.
Patient: No.
Doctor: OK, and how about any fainting spells or feeling like you might faint?
Patient: No, nothing like that.
Doctor: OK. And have you had any abdominal pain?
Patient: Um no, no abdominal pain.
Doctor: Any diarrhea or constipation?
Patient: No.
Doctor: How about any painful urination or feeling as though you need to urinate really frequently?
Patient: Ah no nothing like that.
Doctor: OK, and have you had any skin changes like rashes or anything like that?
Patient: No.</x:t>
  </x:si>
  <x:si>
    <x:t xml:space="preserve">V086</x:t>
  </x:si>
  <x:si>
    <x:t xml:space="preserve">[...earlier consultation omitted...]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x:t>
  </x:si>
  <x:si>
    <x:t xml:space="preserve">Has he ever had a severe episode where he couldn’t speak in full sentences, his lips turned blue, or you had to take him to the emergency department?</x:t>
  </x:si>
  <x:si>
    <x:t xml:space="preserve">Doctor: What brings you here today?
Patient: Hi, I bring you my son today because I've noticed he's had been having this cough sometimes he’ll have it at night and and, he'll have some wheezing and difficulties breathing as well.
Doctor: OK, and when did this all start?
Patient: So I I've been noticing it over the last several months. It's been happening um a couple of times per week where he'll get this cough and that at night time and yeah so over the last several months.
Doctor: OK, and what did it start with coughing or like the shortness of breath? What would it kind of start with?
Patient: Are more the, uh, the coughing, yeah, he just get it at night time and then sometimes he would get it um like it at at school as well. Or even if you went over to one of us, his friends houses, sometimes he would come home and or afterwards he would have a cough and wheeze and and be short of breath.
Doctor: OK, and so is it. Usually after he's worked himself up and like exercise or like just been really active?
Patient: Yeah, that definitely. I noticed that after those times for for sure.
Doctor: OK, and are these like the coughing? Is it wet or dry?
Patient: It's it's a dry cough.
Doctor: Dry cough OK, so no yellow green material or blood coughed up/
Patient: No, nothing like that. Uh coughed up.
Doctor: OK, and you're saying you also hear wheezing, right?
Patient: Yeah, I'll hear a wheeze. He has this like high pitched whistling sound when he exhales.
Doctor: OK, and has he at all had this happen before? Or is this the first time this is happening?
Patient: Um like when he was really younG I think like two he had like bronchiolitis or something like that. I think it was called you had a cough and um like a wheeze at that time, but I think it was because of a like an infection or viral a viral illness.
Doctor: I see. Um has he had any uh sore throat, runny nose, cold like symptoms at all recently?
Patient: No, he hasn't had anything like that.
Doctor: OK, OK, so his symptoms mainly occur when he's very active um, so they kind of come and go, and have you tried it at all anything that has helped with the symptoms?
Patient: No, I haven't tried anything.
Doctor: OK, any kind of dizziness, changes in his behavior at all from being very irritable to very fatigued? Anything like that?
Patient: No, nothing like that.</x:t>
  </x:si>
  <x:si>
    <x:t xml:space="preserve">V087</x:t>
  </x:si>
  <x:si>
    <x:t xml:space="preserve">[...earlier consultation omitted...]
Doctor: OK, and has she been diagnosed with any conditions before?
Patient: No.
Doctor: OK. And any reason for her to be hospitalized?
Patient: Uh, no.
Doctor: OK, um does she take any medications regularly?
Patient: Um, no.</x:t>
  </x:si>
  <x:si>
    <x:t xml:space="preserve">OK, so just to recap, a 5-year-old girl with a two-day history of harsh cough, stuffy nose, and one day of pink eye without discharge or vision changes, possibly itchy, but no fever documented at home, normal appetite and bowel movements, and no other significant symptoms. Is that correct?</x:t>
  </x:si>
  <x:si>
    <x:t xml:space="preserve">Doctor: Would you mind by starting to tell me what brought you in?
Patient: Sure, my 5 year old daughter, I noticed that she's been coughing a lot over the past two days. She sounds like she has a stuffy nose and now she's got this pink eye so I just wanted to get it checked out by you.
Doctor: Yeah, for sure. So the cough started 5 days ago?
Patient: Two days ago.
Doctor: OK and is the cough barky or harsh sounding?
Patient: Yes, it sounds harsh.
Doctor: OK, alright was there anything that changed two days ago that might have triggered the cough?
Patient: I don't think so, although she does go to daycare.
Doctor: OK, uh and so has she been bringing up any sputum with the cough?
Patient: No, no sputum that I've noticed.
Doctor: OK, notice any blood?
Patient: No.
Doctor: Alright, and is the cough worse at any particular time of day?
Patient: No.
Doctor: OK, and has there been any wheezing?
Patient: No, not that I noticed.
Doctor: OK. And you mentioned the red eyes. When did you notice that?
Patient: That was just yesterday.
Doctor: OK, any discharge from the eyes?
Patient: No.
Doctor: OK, nothing like that? No tearing or anything like that?
Patient: No.
Doctor: OK. Umm and has she complained about any like changes to vision?
Patient: No, not really, just the pain.
Doctor: No. OK, uh, and how about any itchiness in the eyes?
Patient: She's been rubbing it and so it's possibly itchy.
Doctor: OK. And have you noticed any mucus coming out?
Patient: Umm, no, it's actually stuffy.
Doctor: OK
Patient: Yeah, not so much mucous.
Doctor: OK, has she mentioned anything about losing smell?
Patient: No.
Doctor: OK, umm and has she mentioned anything about being congested?
Patient: She just sounds like she's congested.
Doctor: OK. Umm any sore throat?
Patient: Umm, possibly.
Doctor: OK, how has she been eating?
Patient: Um, she's been eating OK. I guess she's been eating alittle less than usual.
Doctor: OK umm, would you say that she's been going to the bathroom as often as normal?
Patient: Yep, I would say so.
Doctor: No changes there, OK. Um and has she had any loss of taste?
Patient: Umm, possibly since she's not eating as much.
Doctor: OK. Any fevers or chills?
Patient: Um, she did feel a little bit hot, but I didn't take her temperature.
Doctor: OK, so hot. We will definitely check for fever today. Any night sweats?
Patient: Umm, no.
Doctor: OK. And has she been gaining weight OK?
Patient: Yep, Yep, no change, nothing abnormal there.
Doctor: OK, and has she been complaining about having any stomach pains?
Patient: Umm, no.
Doctor: OK, has she had any nausea or vomiting?
Patient: Um no no.
Doctor: OK, and how about any painful urination?
Patient: No.
Doctor: OK, and any diarrhea?\
Patient: Umm, no.
Doctor: OK, and has she mentioned anything about headaches?
Patient: No.
Doctor: OK. And how about any aches or pains anywhere?
Patient: Uh, no, I don't think so.
Doctor: Have you noticed any rashes?
Patient: No.
Doctor: OK, and has she been diagnosed with any conditions before?
Patient: No.
Doctor: OK. And any reason for her to be hospitalized?
Patient: Uh, no.
Doctor: OK, um does she take any medications regularly?
Patient: Um, no.</x:t>
  </x:si>
  <x:si>
    <x:t xml:space="preserve">V088</x:t>
  </x:si>
  <x:si>
    <x:t xml:space="preserve">[...earlier consultation omitted...]
Doctor: OK, and it has she had any headaches?
Patient: No.
Doctor: Has she had any sensory changes like any issues with vision or hearing?
Patient: Uhm no.
Doctor: any issues with sense of smell or taste?
Patient: No.</x:t>
  </x:si>
  <x:si>
    <x:t xml:space="preserve">How she had a cough or sore throat.</x:t>
  </x:si>
  <x:si>
    <x:t xml:space="preserve">Doctor: How may I help you?
Patient: Hi, I'm here with my 3 year old daughter and she's been holding her elbow awkwardly and um she seems like she's in pain and so I was just wondering if like something happened to her elbow and if you can fix it.
Doctor: Yeah for sure. OK so. Is she holding her arm, like any particular position, like with her elbow, kind of flexed or is her arm extended?
Patient: It's it seems kind of flex is holding it awkwardly and she can't she she's not, she's not stretching it.
Doctor: OK, uhm. And when did this start, when did you first notice?
Patient: I notice this yesterday.
Doctor: OK. And and I, had she been holding her, her arm, kind of like this the whole time?
Patient: Yeah, there's just like a slight bend to it. It's not fully straightened. It's not fully like fully flexed. It's just kind of hanging out her side.
Doctor: OK, um and. Has there been anything that's made the pain worse?
Patient: Uhm no, I don't think so, I think. No, I think she she's just been holding it awkwardly like that I I'm assuming so it doesn't cause more pain.
Doctor: OK, and is the pain sharp, burning or achy?
Patient: I think it's it's. It's sharp.
Doctor: A sharp pain, OK and does the pain radiate anywhere else like pain in the hand or wrist, or pain up into the arm or shoulder?
Patient: I don't think so.
Doctor: OK, and has there been like was there anything that happened around the time that you first noticed her holding her arm like this, such as a fall, or maybe like somebody pulling on on her hand like swinging her from her arm or anything like that?
Patient: Um I know her father was swinging her arms yesterday, They were playing in the park, so maybe.
Doctor: OK, so just uh, she's swinging from arms yesterday, OK and. Has she talked about having any numbness or tingling?
Patient: No.
Doctor: OK. And any muscle weakness that you've noticed?
Patient: Ah no, no muscle weakness.
Doctor: OK. And has she had any?
Doctor: Fevers or chills.
Patient: No.
Doctor: OK, and it has she had any headaches?
Patient: No.
Doctor: Has she had any sensory changes like any issues with vision or hearing?
Patient: Uhm no.
Doctor: any issues with sense of smell or taste?
Patient: No.</x:t>
  </x:si>
  <x:si>
    <x:t xml:space="preserve">V089</x:t>
  </x:si>
  <x:si>
    <x:t xml:space="preserve">[...earlier consultation omitted...]
Doctor: OK. Have you noticed a runny nose or stuffy nose?
Patient: Uhm, no, nothing like that.
Doctor: No, OK. And he said he hasn't had any like fainting spells?
Patient: Uh, no, I don't think so.
Doctor: No, OK. And how many wet diapers is he producing in a day now?
Patient: Probably 5 or 6.</x:t>
  </x:si>
  <x:si>
    <x:t xml:space="preserve">Probably 5 or 6.</x:t>
  </x:si>
  <x:si>
    <x:t xml:space="preserve">Doctor: Okay, that’s reassuring. How old is your son, and has he been feeding or drinking normally today?</x:t>
  </x:si>
  <x:si>
    <x:t xml:space="preserve">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
Doctor: OK and was it a dry cough?
Patient: I think so. I mean, not-nothing really came out.
Doctor: OK, that's good. So no blood, no sputum?
Patient: No.
Doctor: OK, and did he seem wheezy?
Patient: Uh, no.
Doctor: No, OK. So there's no wheezing with the grunting?
Patient: Maybe a little bit like that, just a little bit of a noise, but it's mostly the grunting.
Doctor: OK. Has he had any weight loss?
Patient: No, not that I really, we haven't really weighed him now since his last appointment.
Doctor: OK. Does he seem excessively tired or fatigued?
Patient: Uhm, moreso today I would say he's like earlier, he was very fussy, but now he seems a bit more tired.
Doctor: OK. Any rashes that you've noticed?
Patient: No.
Doctor: No, OK. Uhm any changes in his vision or hearing?
Patient: Uh, no, not that I can tell.
Doctor: No, OK. So he's responding to like sounds and he's still looking at you and things like that?
Patient: Yeah.
Doctor: OK. Have you noticed a runny nose or stuffy nose?
Patient: Uhm, no, nothing like that.
Doctor: No, OK. And he said he hasn't had any like fainting spells?
Patient: Uh, no, I don't think so.
Doctor: No, OK. And how many wet diapers is he producing in a day now?
Patient: Probably 5 or 6.</x:t>
  </x:si>
  <x:si>
    <x:t xml:space="preserve">V090</x:t>
  </x:si>
  <x:si>
    <x:t xml:space="preserve">[...earlier consultation omitted...]
Doctor: OK. So you didn't think there was any blood in the stool?
Patient: No, no, no, I didn't see any blood.
Doctor: OK, as for the fever, what was the maximum temperature that you noted and how did you check it?
Patient: So I used, we have just a regular non digital thermometer in her ear and her temperature today was around 103 degrees Fahrenheit.
Doctor: OK. Uh, did you notice any tugging or pulling at her ear?
Patient: No, no, she doesn't seem to have any irritation there.</x:t>
  </x:si>
  <x:si>
    <x:t xml:space="preserve">No, no, she doesn't seem to have any irritation there.</x:t>
  </x:si>
  <x:si>
    <x:t xml:space="preserve">OK. Uh, how has her appetite been?</x:t>
  </x:si>
  <x:si>
    <x:t xml:space="preserve">Doctor: Hi there, I was just hoping to ask you a few questions today but I was wondering if you could tell me what brought you in today.
Patient: I am just calling about my daughter. She's been sick over the last few days. She has fever and a cough.
Doctor: I see, OK. When did the fever and cough start?
Patient: So they started around three to four days ago. And around the same time she was also having like a runny nose.
Doctor: OK, and has the fever and cough been present the whole time?
Patient: Uh, yeah I would say they started around the same time and ah, they have been going on for the last three and a half to four days.
Doctor: OK, so has there been a period when she hasn't had a fever or a cough?
Patient: Uh no, every time I've measured it, she has had a fever and she's been coughing for the last few days. Hasn't really changed.
Doctor: OK, can you think of anything leading up to these symptoms?
Patient: Uh, no, she was she was fine, just three to four days ago. Like before that she was her playful self. No issues. But yeah, it's for the last couple of days just this nonstop cough and the fevers is what's really worrying me.
Doctor: OK, uh, have the symptoms have gotten worse or stayed the same?
Patient: I would say the fever has been getting a little bit worse over the last like, especially today, but the cough, coughing is about the same as what it was when it first started three days ago.
Doctor: OK. Has she been sick like this before?
Patient: She's, she often gets sick, like her brother goes to daycare and he brings a lot of bugs from there and every time he gets sick, she also gets sick. The last time she had like a similar cough was around two months ago, but at that time I wasn't that worried because she didn't have any fevers.
Doctor: OK, um, have you, has there been anything that you've tried to help with the cough or fever?
Patient: Uh Tylenol, I gave her Tylenol. It did help her a little bit, but then the fever came right back, uhm say like a few hours later.
Doctor: OK, and anything you notice that's made the cough or fever worse over the last three or four days?
Patient: Not anything that I know of. Her fevers been getting worse, but I don't really know why that is.
Doctor: OK, uh, has she been having any other symptoms?
Patient: Um, other than like, yeah, she had that runny nose when it first started, and then she's also been having some diarrhea.
Doctor: OK, and when did the diarrhea start?
Patient: I think I would say it started around two days ago. She's, like every time I change her diaper she would have like 4-5 different diaper changes throughout the day, and they they seem pretty liquid. So I think yeah, she's been having diarrhea for the last two days.
Doctor: OK, uh you mentioned liquid appearing stool, what would you say say, so I guess, could you comment on the consistency and colour?
Patient: Consistency, I'd say it's pretty watery, like diarrhea and colour I didn't really think there's any changes in in the colour.
Doctor: OK. So you didn't think there was any blood in the stool?
Patient: No, no, no, I didn't see any blood.
Doctor: OK, as for the fever, what was the maximum temperature that you noted and how did you check it?
Patient: So I used, we have just a regular non digital thermometer in her ear and her temperature today was around 103 degrees Fahrenheit.
Doctor: OK. Uh, did you notice any tugging or pulling at her ear?
Patient: No, no, she doesn't seem to have any irritation there.</x:t>
  </x:si>
  <x:si>
    <x:t xml:space="preserve">V091</x:t>
  </x:si>
  <x:si>
    <x:t xml:space="preserve">[...earlier consultation omitted...]
Doctor: OK, any numbness or tingling in that arm?
Patient: No, no, no numbness or tingling.
Doctor: Yeah, um OK, and then how about um like your arm feeling like it's cold?
Patient: No, I haven't had anything like that.
Doctor: OK, alright, um and then otherwise do you have any other symptoms?
Patient: Um no I, it's just been the elbow pain.</x:t>
  </x:si>
  <x:si>
    <x:t xml:space="preserve">Um no I, it's just been the elbow pain.</x:t>
  </x:si>
  <x:si>
    <x:t xml:space="preserve">OK, so it sounds like this is localized to the outside of your right elbow, it's achy but can be sharp with certain movements, particularly wrist flexion and gripping, it's getting worse, and it's starting to interfere with work. You don't have any other joint pain, numbness, tingling, or changes in temperature or sensation.</x:t>
  </x:si>
  <x:si>
    <x:t xml:space="preserve">Doctor: What brings you in?
Patient: Hi, I've I've had this pain on the outside of my uh right elbow now it's it I first started knowing, noticing it several months ago, but recently it's just been more painful.
Doctor: OK, so you said several months ago. Um did anything happen several months ago? Was there any sort of trigger, trauma, anything like that to that area?
Patient: No, there wasn't any any trauma or any triggers that that I noticed, I was just um feeling it, uh, a bit more at the end of of work. Um yeah, I was just having it uh, feeling the pain a bit more at the end of work.
Doctor: OK, does uh anything make it better or worse, the pain?
Patient: Um yeah, if I, really if I'm just resting the elbow um it makes it better, and I've tried uh things like ibuprofen um which has helped with the pain, I'll I'll do that for um hoping I can get through work sometimes if the pain is bad enough.
Doctor: Right, OK. Um and if you were to describe the quality of the pain, is it sharp, throbby, achy?
Patient: Uh it's um kind of uh, well, it's achy and then sometimes depending on the movement it can get, it can be sharp as well.
Doctor: It can be sharp, OK. OK, um and what sorts of movements make it worse?
Patient: Um, so like, really it's mostly the movements at my wrist, if I'm bending my wrist down, uh I can I can feel it, or um if I'm having to pick things up or hold heavy objects at work, I do a lot of repetitive uh things at at work, I work on a line.
Doctor: OK, OK. And 1 to 10, 10 being the worst pain you've ever felt, how bad is this pain?
Patient: It is about a four.
Doctor: About a four, OK. And have you ever experienced this type of pain before?
Patient: Uh, no I haven't.
Doctor: No, OK, and do you feel like your pain is getting worse over the past several months, or is it the same, getting better?
Patient: Uh it's been getting worse.
Doctor: It's been getting worse, OK. OK, um have you tried any like topical ointments or anything like that for it?
Patient: Uh I did, I yeah, I tried some um some stuff that you can get at the um drugstore and it did help take the edge off a little bit.
Doctor: OK. Um alright and are you still able to move that arm, your right arm, um as well as your hand?
Patient: I am, yeah, I I have full range of motion of both the elbow and uh hand.
Doctor: OK and it's not like preventing you from doing everyday tasks?
Patient: Uh, no. I I've been been able to manage so far at work, but um it is starting to become an issue um yeah, with my job.
Doctor: OK. Um alright, and then do you have any sorts of aches or pains uh in any other joint or muscle groups?
Patient: No, it's just right there on the outside of my right elbow, and it's really annoying 'cause I'm right handed as well, so um yeah, it's causing problems there.
Doctor: Right, um and is the pain radiating upwards or downwards?
Patient: Uh no, I kinda just feel it right over that that one spot.
Doctor: OK, any numbness or tingling in that arm?
Patient: No, no, no numbness or tingling.
Doctor: Yeah, um OK, and then how about um like your arm feeling like it's cold?
Patient: No, I haven't had anything like that.
Doctor: OK, alright, um and then otherwise do you have any other symptoms?
Patient: Um no I, it's just been the elbow pain.</x:t>
  </x:si>
  <x:si>
    <x:t xml:space="preserve">V092</x:t>
  </x:si>
  <x:si>
    <x:t xml:space="preserve">[...earlier consultation omitted...]
Doctor: Mhmm.
Patient: And yeah, so I went to see my family doctor about the cough then and dad was prescribed some antibiotics. I think azithromycin and it, it still didn't, it didn't do anything.
Doctor: OK, I see. And do you find that your cough has been getting worse since then?
Patient: Uh, I would say the cough has been about the same.
Doctor: OK. But how about the sputum that you're bringing up, has that increased?
Patient: Uh, it's about the same, but it definitely I would say there's a pink tinge in the sputum now. Every once in awhile I've noticed more than than before.</x:t>
  </x:si>
  <x:si>
    <x:t xml:space="preserve">Uh, it's about the same, but it definitely I would say there's a pink tinge in the sputum now. Every once in awhile I've noticed more than than before.</x:t>
  </x:si>
  <x:si>
    <x:t xml:space="preserve">I see. And do you find that your cough has been getting worse since then?</x:t>
  </x:si>
  <x:si>
    <x:t xml:space="preserve">Doctor: I would just like to start with what brought you in here today to the family clinic?
Patient: Yeah, so I've been coughing for a few months now and so that's the problem.
Doctor: OK, and how many months have you been coughing for?
Patient: Just over two, I would say, and it's been I've been bringing up this yellow, greenish sputum. It's kind of gross.
Doctor: OK, and how, how much of the sputum would you say you're bringing up in an average day? Like a teaspoon? Tablespoon?
Patient: Oh I see OK. I don't know, maybe a few teaspoons throughout the day.
Doctor: OK.
Patient: At first I thought I I I had a, a chest infection, but even after antibiotics from my GP, or or my family doctor, It never cleared up.
Doctor: OK, and so when did you go on the antibiotics?
Patient: Ah so this is about, uh, about a month ago.
Doctor: Mhmm.
Patient: And yeah, so I went to see my family doctor about the cough then and dad was prescribed some antibiotics. I think azithromycin and it, it still didn't, it didn't do anything.
Doctor: OK, I see. And do you find that your cough has been getting worse since then?
Patient: Uh, I would say the cough has been about the same.
Doctor: OK. But how about the sputum that you're bringing up, has that increased?
Patient: Uh, it's about the same, but it definitely I would say there's a pink tinge in the sputum now. Every once in awhile I've noticed more than than before.</x:t>
  </x:si>
  <x:si>
    <x:t xml:space="preserve">V093</x:t>
  </x:si>
  <x:si>
    <x:t xml:space="preserve">[...earlier consultation omitted...]
Doctor: Any family history of any musculoskeletal or rheumatologic conditions?
Patient: Um no.
Doctor: OK. Currently, do you work?
Patient: I do. I work from home right now, I'm a teacher.
Doctor: OK, uh. And do you, did you do any work previously that required heavy lifting or strenuous activities regarding your back at all.
Patient: Um no no, nothing like that.</x:t>
  </x:si>
  <x:si>
    <x:t xml:space="preserve">Um no no, nothing like that.</x:t>
  </x:si>
  <x:si>
    <x:t xml:space="preserve">OK. And do you smoke?</x:t>
  </x:si>
  <x:si>
    <x:t xml:space="preserve">Doctor: What brings you in here today?
Patient: So my back has been killing me it's been hurting for the past two months, but recently it's gotten worse. I'd say over the past week or two weeks it's gotten really bad and no over the counter medication is helping with the pain. It's I'm finding it hard to walk. I can't feel anything in the groin area and I'm having so many bladder accidents.
Doctor: OK, and so this pain started two months ago, but it's progressed to like these other symptoms as well?
Patient: Yes, that's right.
Doctor: Where did the pain start?
Doctor: Uh, it started in my lower back.
Doctor: Started your lower back OK and does the pain, how would you describe the pain, is it like aching. sharp?
Patient: It's sharp.
Doctor: OK and did anything happened prior to the pain, any injuries at all that you experienced?
Patient: Two months ago I was in a motor vehicle accident um an I think my back started hurting then but they did some imaging it's and turned out like one of the discs there was a slip in a disc or something, but at that point the pain was just achey and I don't really have any in any of these other issues. But over the past two weeks it's gotten sharp and I'm having all these other symptoms.
Doctor: OK, um and. So you're having the set like what's called, some numbness in your groin. Is that unilateral, like on one side or both sides?
Patient: Uhm, it seems like it's both sides.
Doctor: OK, and. So and then you're also having the urinary incontinence. How long is that been going on for?
Patient: The past week.
Doctor: OK, and what about the numbness in your groin area?
Patient: That's been going on for the past week as well.
Doctor: OK, and OK, and how would you describe your pain right now on a scale of 1 to 10, 10 being the worst pain you've felt?
Patient: Um I would say it's like an 8 or 9.
Doctor: Eight or nine OK, and does it get worse with any, any motions at all?
Patient: I think it's worse with um, I don't know like, it's worse with anything, anytime, anytime I tried to move it, it hurts.
Doctor: OK, so you just improved with rest complete rest.
Patient: Yeah.
Doctor: OK. Does it travel in, does the pain travel anywhere else, does it shoot down your legs at all?
Patient: Yeah, so it does shoot down my legs and I'm having a hard time walking because of that.
Doctor: Is it both legs or just one?
Patient: It's mostly on my right, but the left one isn't the same as it used to be either.
Doctor: OK
Patient: Yeah, I'm having a hard time like getting up from a chair and things like that.
Doctor: OK, and anything that you've tried that has helped relieve some of your symptoms.
Patient: I've tried like over the counter counter and ibuprofen. I've tried some topical analgesics and nothing seems to be working.
Doctor: OK. And. Have you experienced any trauma? So you mentioned you had a car accident rate two months ago?
Patient: Yes, that was. Yeah, that was two months ago.
Doctor: OK and then. Were you in the hospital, admitted to the hospital for for a while, or how, what happened in your treatment?
Patient: Yeah, I was. I was taken to the ER. They did like a full work up on me. The only thing on my back that they found was a slipped disc and then they said that should that shouldn't cause me too much pain. But if I was having any of these symptoms that I'm having now I should go back, or see a doctor at least. And and otherwise I was fine like I didn't lose a lot of blood or I didn't need any surgical interventions at that point.
Doctor: OK, I see. And have you been having any other symptoms or any any pain in any other joints or muscles?
Patient: Uhm, No, no, nothing like that.
Doctor: OK, any fevers or chills.
Patient: No.
Doctor: Any night sweats?
Patient: No rashes or skin changes.
Patient: No.
Doctor: Any kind of chest pain short of, ah sorry shortness of breath?
Patient: Um no.
Doctor: Any cough or cold like symptoms?
Patient: No.
Doctor: Uhm, any so you have some urinary incontinence, any fecal incontinence?
Patient: No.
Doctor: OK, how's an any recent changes in your weight?
Patient: No.
Doctor: Have you been sick at all recently?
Patient: No.
Doctor: OK, any tingling sensation either in your back or shooting down your legs?
Patient: No.
Doctor: Any burning sensation?
Patient: Little bit of burning sensation.
Doctor: Yeah OK do you have any numbness in your lower limbs or just numbness around the groin?
Patient: Just numbness around the groin area but my lower limbs do seem weak.
Doctor: OK so you have muscle weakness. Is it just one like that's ah weak or both legs?
Patient: So both like seem weak but the right more than the left.
Doctor: OK, I see. Uhm, and does this weakness seem to get worse, or is it around the same as it was when it started?
Patient: It's it's it feels like it's getting worse.
Doctor: OK, do you have any past medical conditions you have been diagnosed with?
Patient: I had hypothyroid, so I've been taking Synthroid for that.
Doctor: OK, any other medications?
Patient: No.
Doctor: OK, any allergies to any medications?
Patient: No.
Doctor: OK. Any hospitalizations or previous surgeries?
Patient: No.
Doctor: Any family history of any musculoskeletal or rheumatologic conditions?
Patient: Um no.
Doctor: OK. Currently, do you work?
Patient: I do. I work from home right now, I'm a teacher.
Doctor: OK, uh. And do you, did you do any work previously that required heavy lifting or strenuous activities regarding your back at all.
Patient: Um no no, nothing like that.</x:t>
  </x:si>
  <x:si>
    <x:t xml:space="preserve">V094</x:t>
  </x:si>
  <x:si>
    <x:t xml:space="preserve">[...earlier consultation omitted...]
Doctor: OK, any shortness of breath?
Patient: I'm not really able to exercise and stuff like that.
Doctor: OK, have any wheeziness?
Patient: Um, no, I haven't had a a wheeze.
Doctor: OK, how about any fatigue or tiredness?
Patient: Yeah, I've definitely felt a little bit more kind of groggy and tired this last week, really.</x:t>
  </x:si>
  <x:si>
    <x:t xml:space="preserve">Yeah, I've definitely felt a little bit more kind of groggy and tired this last week, really.</x:t>
  </x:si>
  <x:si>
    <x:t xml:space="preserve">I'm sorry to hear that. Um, when you say last few days, did you mean the past two days? 3 days?</x:t>
  </x:si>
  <x:si>
    <x:t xml:space="preserve">Doctor: How are you?
Patient: I'm not so good, these last few days I haven't benn able to reallykeep anything down and not feeling so good.
Doctor: OK, I'm sorry to hear that. Um, when you say last few days, did you mean the past two days? 3 days?
Patient: Well, I feel like maybe the last five days I just haven't been feeling so good and I haven't really felt like eating. But these last two days I've been really nauseous and I've thrown up a few times.
Doctor: OK, when you say you haven't been feeling good for the past five days, is it that you feel achy? Do you feel hot like you have a fever, or do you feel weak?
Patient: Yeah, I do feel hot and um, yeah, maybe a bit tired.
Doctor: Tired? OK. And nausea and vomiting. Are you throwing up or just feeling nauseous?
Patient: Mostly nauseous, but yeah, yesterday I threw up like three or four times and then again today I threw up like two or three times.
Doctor: OK, are you throwing up any blood?
Patient: No, I didn't see any red. It was mostly like yellow and umm, liquidy beacuse I haven't been eating much solids or like just like food. I've been mostly just having drinks.
Doctor: OK, um, and so mostly fluid you said?
Patient: Yeah.
Doctor: OK, and what color is it?
Patient: Uhh, yeah, usually usually kind of like yellowish clear.
Doctor: OK. Are you having any abdominal pain?
Patient: Maybe like after I vomit it kind of feels like squeezing a little bit. But I think, yeah, I think yeah that's just really just with when I'm heaving.
Doctor: Right, um, are you, do you have any changes in your bowel movements?
Patient: Umm, no, I haven't noticed anything there.
Doctor: OK. And so no diarrhea, no constipation?
Patient: No, nothing like that.
Doctor: OK, no blood in your stool?
Patient: No blood, I haven't seen any red.
Doctor: OK, and how about issues swallowing food?
Patient: Oh yeah, no problem swallowing. Just haven't felt hungry.
Doctor: OK, so you don't have much of an appetite then.
Patient: No, not not really.
Doctor: OK, alright, so um, any changes in in taste?
Patient: Um, maybe I mean, yeah, I think I might not be really tasting things the same.
Doctor: OK, how about smell?
Patient: Now that you say it, I might, uh, yeah I think my smell has been impacted as well. I can't really smell anything.
Doctor: OK.
Patient: I thought that was kind of weird, but didn't think anything of it actually until you just asked me.
Doctor: Yeah for sure. And how about any changes in your vision or hearing?
Patient: No changes to vision or hearing.
Doctor: OK, any discharge?
Patient: Uh, nothing like that that, but I mean my eyes were a bit, they've been a bit red these last two days.
Doctor: OK, have they been in any pain?
Patient: Nope, no pain and I've been able to see everything OK. It's just I just noticed they were a little bit more red. I just thought maybe I don't know I was, I've just been tired.
Doctor: Yeah for sure. Any coughing?
Patient: Uhh, yeah I haven't had a cough but um, I've had a cough for a few years now, so yeah, that's not really a change for me.
Doctor: Alright, so no change in your cough. Is it a dry cough or a wet cough?
Patient: It's uh, oh, a dry cough usually.
Doctor: Dry cough, OK. Any blood that you produce?
Patient: No blood, no blood.
Doctor: OK, any shortness of breath?
Patient: I'm not really able to exercise and stuff like that.
Doctor: OK, have any wheeziness?
Patient: Um, no, I haven't had a a wheeze.
Doctor: OK, how about any fatigue or tiredness?
Patient: Yeah, I've definitely felt a little bit more kind of groggy and tired this last week, really.</x:t>
  </x:si>
  <x:si>
    <x:t xml:space="preserve">V095</x:t>
  </x:si>
  <x:si>
    <x:t xml:space="preserve">[...earlier consultation omitted...]
Doctor: Alright, have you noticed any rashes or skin changes over this past week?
Patient: No.
Doctor: Alright, and how about any muscle aches or or joint pains?
Patient: Um no.
Doctor: Alright, so is there any reason that you see a physician regularly for, or been diagnosed with any medical conditions?
Patient: Mmm, I have rheumatoid arthritis.</x:t>
  </x:si>
  <x:si>
    <x:t xml:space="preserve">Mmm, I have rheumatoid arthritis.</x:t>
  </x:si>
  <x:si>
    <x:t xml:space="preserve">I'm going to order some labs.</x:t>
  </x:si>
  <x:si>
    <x:t xml:space="preserve">Doctor: I was wondering if you could start by telling me what brought you in.
Patient: Sure, you know I've been feeling a little hot for the past two days. I've had this awful cough and I just feel so tired.
Doctor: OK and, this started two days ago?
Patient: Ah yes, two days ago.
Doctor: OK. Yeah, you've been feeling hot, have you checked your temperature?
Patient: Um no, I haven't actually checked my temperature, I just kind of put my hand on my forehead and I just feel really, really hot.
Doctor: OK, so we'll we'll check it right now and. OK, so we're seeing that it's your temperature is elevated at 38.3 right now, so it does sound like you you have a fever. OK, and you mentioned that you had you have a cough?
Patient: Yeah, I do. It's it's a dry cough and it's awful. I've been hacking for the past two days.
Doctor: Oh no, that doesn't sound very nice. Has it been any blood or any sputum?
Patient: No blood and no definitely no sputum. OK.
Doctor: Anything that's like triggered the cough?
Patient: Um I don't, I don't think so. Um, No, I don't think so.
Doctor: No. OK, have you had a cough like this before?
Patient: Maybe like 10 years ago when I had some sort of viral infection, they said um. I had a dry cough, but nothing to this extent.
Doctor: OK, um have you had any infections recently, like in the last month or so, like a viral illness? Um, like where you had maybe like a runny nose sore throat and and a cough?
Patient: No, no not not recently.
Doctor: OK, so you've been feeling well recently?
Patient: Yeah.
Doctor: OK, and you've you been fatigued. Can you tell me a little bit about about how you been feeling?
Patient: Ah yeah, like you mean in terms of my fever or cough?
Doctor: Oh sorry I mean in terms of your energy.
Patient: Oh my energy yeah, I've just been feeling so tired, it seems like I can't do normally would be. I would normally have no issues doing.
Doctor: I see OK, and any changes to sleep or any kind of stressful events happen in the last few days that, might be causing you to be more tired.
Patient: I don't think so. Nothing, nothing big has happened in my life. No big changes.
Doctor: OK um. And so you've had a fever, cough, and being tired. Have you experienced any other symptoms these last few days?
Patient: Um yep, fever, cough, fatigue. But um I don't have anything any other symptoms besides those.
Doctor: OK, so you you do you have any headaches?
Patient: Oh headaches? No, no.
Doctor: OK, how about any eye or or ear symptoms like discharge or pain?
Patient: No, nothing like that.
Doctor: OK, have you had a loss of taste or a loss of smell?
Patient: No.
Doctor: Alright, and have you had a runny nose or sore throat?
Patient: No.
Doctor: OK. Have you had any chest pain?
Patient: Nope, no chest pain.
Doctor: And how about difficulty breathing or shortness of breath?
Patient: Nope, no.
Doctor: OK, and any wheezing or whistling noises while you're breathing?
Patient: No.
Doctor: OK, and have you felt like your heart's racing at all?
Patient: Ah no.
Doctor: Have you had any like fainting spells or feeling as though you might pass out?
Patient: Um nope, no.
Doctor: Alright, and how about any dizziness?
Patient: Oh no no dizziness either.
Doctor: Alright and have you had any nausea or vomiting?
Patient: No.
Doctor: Alright, and how about any diarrhea or constipation?
Patient: No.
Doctor: Alright, um any abdominal pain?
Patient: No.
Doctor: And any like, painful urination or or like going to the bathroom frequently?
Patient: No.
Doctor: Alright. Any night sweats
Patient: No.
Doctor: And how about any chills or rigors?
Patient: No.
Doctor: Have you had any weight loss over the last several months?
Patient: None.
Doctor: Alright, have you noticed any rashes or skin changes over this past week?
Patient: No.
Doctor: Alright, and how about any muscle aches or or joint pains?
Patient: Um no.
Doctor: Alright, so is there any reason that you see a physician regularly for, or been diagnosed with any medical conditions?
Patient: Mmm, I have rheumatoid arthritis.</x:t>
  </x:si>
  <x:si>
    <x:t xml:space="preserve">V096</x:t>
  </x:si>
  <x:si>
    <x:t xml:space="preserve">[...earlier consultation omitted...]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x:t>
  </x:si>
  <x:si>
    <x:t xml:space="preserve">No, nothing like that. It's a pretty safe building.</x:t>
  </x:si>
  <x:si>
    <x:t xml:space="preserve">OK, and how about your diet? What do you usually eat in a day?</x:t>
  </x:si>
  <x:si>
    <x:t xml:space="preserve">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
Doctor: Yeah, OK, and you said you're retired. Do you live alone? Do you live with anyone?
Patient: No, yeah, I live alone now. And I live in London in an apartment
Doctor: OK, any old carpets? Mold, dust, asbestos?
Patient: No, nothing like that. It's a pretty safe building.</x:t>
  </x:si>
  <x:si>
    <x:t xml:space="preserve">V097</x:t>
  </x:si>
  <x:si>
    <x:t xml:space="preserve">[...earlier consultation omitted...]
Doctor: Okay, and then um, has she ever experienced pain like this in the past?
Patient: Um, no. This is the first time.
Doctor: Okay. Um, and then does she have any numbness or tingling in the area?
Patient: Um, no, not that I know of.
Doctor: Okay, how about memory loss or confusion?
Patient: No.</x:t>
  </x:si>
  <x:si>
    <x:t xml:space="preserve">Um, any headaches?</x:t>
  </x:si>
  <x:si>
    <x:t xml:space="preserve">Doctor: What brings you in?
Patient: Um, hi, I'm here with my daughter. Uh, we noticed that uh, since yesterday she's been having this pain just in her elbow. Um, and like today, we've noticed right after she woke up, she's been in pain and also just keeping her elbow like protected, um, kind of like just flexing it and just holding on to it. So I think it's uh, giving her a lot of discomfort and she's been crying as well.
Doctor: Oh yeah, for sure. Um, when did this start?
Patient: I think it started, uh, after we went for a walk last uh, evening. Um, and we just went to the park and since then like she's been having that pain.
Doctor: Okay, okay, and did anything happen to trigger this? Did she fall on that arm? Or like, injuries?
Patient: Um, I think like just uh, she was playing and then um, she was about to fall like right, like right on to the playground pavement. So I remember like, but like I caught her right away, so to protect her, and then since then, I don't know if like there was like a jerk movement as like I kind of pulled her back up, or um, when I was stopping her from falling, like if that caused it. But she didn't hit herself or anything like that.
Doctor: Okay. Alright, um, and in terms of the type of pain she's having right now, did she say if it was a dull, achy kind of pain, or is it sharp?
Patient: She says it's aching a lot.
Doctor: Okay, and has it been constant since she um, started experiencing this? Or does it come and go?
Patient: It's, it's been pretty constant since then and yeah, she just kind of keep, keeping, she's kind of keep, just keeping it like, her arms extended um, and then yeah, just holding on to it.
Doctor: Okay. Um, and then, is the pain just in the elbow, or does it radiate down into her hands or up to her shoulders?
Patient: Um, it kind of goes into her upper arm, like from her elbows to her upper, upper arm.
Doctor: Okay, have you tried anything for this pain?
Patient: Uh, no, I haven't tried any medications or anything. I just wanted to come in before I tried anything.
Doctor: Yeah, 1 to 10, 10 being the worst type of pain, how bad is this pain for her?
Patient: I would say it's probably, at least a 7.
Doctor: Okay, and then um, has she ever experienced pain like this in the past?
Patient: Um, no. This is the first time.
Doctor: Okay. Um, and then does she have any numbness or tingling in the area?
Patient: Um, no, not that I know of.
Doctor: Okay, how about memory loss or confusion?
Patient: No.</x:t>
  </x:si>
  <x:si>
    <x:t xml:space="preserve">V098</x:t>
  </x:si>
  <x:si>
    <x:t xml:space="preserve">OK, and how about any muscle aches or joint aches or just overall like body pains?</x:t>
  </x:si>
  <x:si>
    <x:t xml:space="preserve">V099</x:t>
  </x:si>
  <x:si>
    <x:t xml:space="preserve">[...earlier consultation omitted...]
Doctor: So you haven't been outside the country or any exotic locales in the last little while?
Patient: No, like I'm planning to on March break, but I haven't gone anywhere.
Doctor: Got it, got it, so you live in town uh with your roommate and you're currently a full time student?
Patient: Mhmm.
Doctor: OK, and just regards to anything, do you smoke?
Patient: No, like I don't um I don't smoke cigarettes like I sometimes sometimes smoke marijuana, but usually um usually it's like the vape.</x:t>
  </x:si>
  <x:si>
    <x:t xml:space="preserve">No, like I don't um I don't smoke cigarettes like I sometimes sometimes smoke marijuana, but usually um usually it's like the vape.</x:t>
  </x:si>
  <x:si>
    <x:t xml:space="preserve">OK, and how often would you say you use the vape or marijuana?</x:t>
  </x:si>
  <x:si>
    <x:t xml:space="preserve">Doctor: So what brings you in the clinic today?
Patient: Hey, uh I just had this cough that's been like really bothering me.
Doctor: OK, how long have you had that for?
Patient: Uh like in the past few days, it's been really like gross and I've been coughing up this like gunk, but I've had it for, I've honestly had a cough for like three months, it's just like sometimes it's like there, and sometimes it kind of goes away. It feels like it keeps coming back.
Doctor: OK, have you had any chest pain?
Patient: Um no, like it kinda hurts when I cough now but not not like on its own.
Doctor: OK, have you noticed any fevers at home? Or fevers at all in the last couple days?
Patient: Uh I've been feeling like hot at night in the past couple days, uh but like I didn't actually take my temp.
Doctor: OK, have you had any night sweats? You wake up, the sheets are soaked?
Patient: Uh no, not that.
Doctor: Nothing like that, OK, have you noticed any unexplained weight loss over the last little while?
Patient: Um, no.
Doctor: So so you go on the scale, you lost a few pounds, but you haven't been trying to basically.
Patient: No, like I, I don't really weigh myself, but I don't think so.
Doctor: So you haven't been noticing clothes have been fitting loose or anything like that?
Patient: No, no, like I wish but no.
Doctor: Got it, got it. Now let's talk about what you're bringing up with your cough. What colour is it?
Patient: It's really gross. It's kind of like greenish.
Doctor: Greenish, OK, and also any red or any blood with it?
Patient: No.
Doctor: OK. And doesn't smell at all, smell funky?
Patient: I haven't noticed.
Doctor: OK, so you've just been bringing this stuff up for the last couple of days, when specifically? Two days ago, three days ago?
Patient: Like maybe maybe three days.
Doctor: Three days ago, and you said before that you kind of had this dry cough before. Uh when did you first notice that? Three months ago, you said?
Patient: Yeah, I was uh, I I do like um, it like sounds silly but I do like a pole dancing class just for exercise and I was like at my class and I kind of just started to like feel like I was like a little coughy and like I don't think there's anything special, that was just like when I noticed it.
Doctor: OK, anyone at the class sick at that time?
Patient: I don't think so, like it's a really long time ago, I don't really remember.
Doctor: Got it, got it. Anyone sick near you or around you in the last couple of weeks?
Patient: No, no, not that I can think of.
Doctor: OK, and regarding other, any, we already talked about chest pain, uh you've been able to eat food alright?
Patient: Uh yeah, like uh yeah it's like pretty normal.
Doctor: So no nausea, no vomiting?
Patient: Uh no, none of that.
Doctor: You don't have a stiff neck at all, do you?
Patient: No, no I don't.
Doctor: OK, but how about other parts of your body? Any pain? Tenderness anywhere?
Patient: I don't think so, no. Like I'm I'm a little tired now, um like the cough is like maybe for like a month, it's been kind of waking me up a little bit so my my sleep hasn't been great, but I don't think it's like I have like pain. I'm just like tired.
Doctor: OK so the cough does wake you up at night?
Patient: Yeah.
Doctor: Does it wake you up every night?
Patient: Yeah, like pretty well, for like the last, not like all three months, but probably the last month.
Doctor: OK. Alright. I'm just gonna move on, talk a little bit about you and the past. Uh so any issues that you've seen a doctor for before?
Patient: Uh just like eczema.
Doctor: OK, and do you take anything for that?
Patient: Just like moisturizing creams, um like my family doctor back home said like, a couple times when it was really bad she would give me one like to go get at like shoppers, but right now it's not bad so I just have just like a regular cream.
Doctor: Got it, ever been hospitalized before?
Patient: Uh, no.
Doctor: OK, any surgeries?
Patient: No.
Doctor: OK so aside from the eczema, it sounds like you're pretty healthy eh?
Patient: Yeah.
Doctor: OK. Do you have any allergies?
Patient: Uh I think maybe um maybe cats because, I I don't have one, but sometimes I've noticed stuff, but I've never like, it's never really been too big of an issue.
Doctor: OK, so you've never taken any medications or got stung by a bee and had any trouble breathing or even a certain food?
Patient: No.
Doctor: Nothing like that, OK, are you taking any medications right now?
Patient: Uh no.
Doctor: OK, and you just go to Western?
Patient: Mhmm.
Doctor: Do you live uh near campus with anyone?
Patient: Uh I have like a roommate, yeah we, I live in an apartment with a roommate.
Doctor: OK, have they been sick at all in the last little while?
Patient: No.
Doctor: OK, and last little while, have you done any traveling?
Patient: No.
Doctor: So you haven't been outside the country or any exotic locales in the last little while?
Patient: No, like I'm planning to on March break, but I haven't gone anywhere.
Doctor: Got it, got it, so you live in town uh with your roommate and you're currently a full time student?
Patient: Mhmm.
Doctor: OK, and just regards to anything, do you smoke?
Patient: No, like I don't um I don't smoke cigarettes like I sometimes sometimes smoke marijuana, but usually um usually it's like the vape.</x:t>
  </x:si>
  <x:si>
    <x:t xml:space="preserve">V100</x:t>
  </x:si>
  <x:si>
    <x:t xml:space="preserve">[...earlier consultation omitted...]
Doctor: Two days, OK. And are you just getting daytime symptoms or are you waking up from sleep or not being able to sleep because of your symptoms?
Patient: I woke up twice last week.
Doctor: OK. OK, so yeah, definitely seems like your symptoms are really acting upon and so you're getting some wheezing and you say you're also getting a cough.
Patient: Yes, that's right,
Doctor: OK. And what kind of things would you be doing that you get these symptoms? Is it mostly exertion or is it exposure to dust or any other environmental factors?
Patient: Uh, but, it's mostly exertion, but things like cold air can trigger it too.</x:t>
  </x:si>
  <x:si>
    <x:t xml:space="preserve">Uh, but, it's mostly exertion, but things like cold air can trigger it too.</x:t>
  </x:si>
  <x:si>
    <x:t xml:space="preserve">I'm going to prescribe a course of antibiotics for your chest infection.</x:t>
  </x:si>
  <x:si>
    <x:t xml:space="preserve">Doctor: What brings you in here today?
Patient: Yeah, hi, I'm so I have been very wheezy for the past week um and I'm also like consistently coughing all the time and it's not getting any better. Um I do have asthma and I think it's it's acting up.
Doctor: OK, and how long have you had asthma for?
Patient: Since I was like 5.
Doctor: OK, and are you using any puffers?
Patient: Yes, so I am on a short acting. As well as an inhaled cortico steroid. And I only take the short acting like when I have the symptoms
Doctor: OK. And so how how long have you been symptoms worsening for?
Patient: For the past week I would say.
Doctor: OK, and how how often have you used the ventilin?
Patient: The ventilin that I use is almost every day like a couple times a day.
Doctor: OK, so would you say more than 10 times?
Patient: Yes.
Doctor: OK. And have you had to do you have y to miss any school or anything like that over the past week?
Patient: I missed two days.
Doctor: Two days, OK. And are you just getting daytime symptoms or are you waking up from sleep or not being able to sleep because of your symptoms?
Patient: I woke up twice last week.
Doctor: OK. OK, so yeah, definitely seems like your symptoms are really acting upon and so you're getting some wheezing and you say you're also getting a cough.
Patient: Yes, that's right,
Doctor: OK. And what kind of things would you be doing that you get these symptoms? Is it mostly exertion or is it exposure to dust or any other environmental factors?
Patient: Uh, but, it's mostly exertion, but things like cold air can trigger it too.</x:t>
  </x:si>
  <x:si>
    <x:t xml:space="preserve">V101</x:t>
  </x:si>
  <x:si>
    <x:t xml:space="preserve">[...earlier consultation omitted...]
Doctor: Got it, got it. Now let's talk about what you're bringing up with your cough. What colour is it?
Patient: It's really gross. It's kind of like greenish.
Doctor: Greenish, OK, and also any red or any blood with it?
Patient: No.
Doctor: OK. And doesn't smell at all, smell funky?
Patient: I haven't noticed.</x:t>
  </x:si>
  <x:si>
    <x:t xml:space="preserve">I haven't noticed.</x:t>
  </x:si>
  <x:si>
    <x:t xml:space="preserve">OK, so you've just been bringing this stuff up for the last couple of days, when specifically? Two days ago, three days ago?</x:t>
  </x:si>
  <x:si>
    <x:t xml:space="preserve">Doctor: So what brings you in the clinic today?
Patient: Hey, uh I just had this cough that's been like really bothering me.
Doctor: OK, how long have you had that for?
Patient: Uh like in the past few days, it's been really like gross and I've been coughing up this like gunk, but I've had it for, I've honestly had a cough for like three months, it's just like sometimes it's like there, and sometimes it kind of goes away. It feels like it keeps coming back.
Doctor: OK, have you had any chest pain?
Patient: Um no, like it kinda hurts when I cough now but not not like on its own.
Doctor: OK, have you noticed any fevers at home? Or fevers at all in the last couple days?
Patient: Uh I've been feeling like hot at night in the past couple days, uh but like I didn't actually take my temp.
Doctor: OK, have you had any night sweats? You wake up, the sheets are soaked?
Patient: Uh no, not that.
Doctor: Nothing like that, OK, have you noticed any unexplained weight loss over the last little while?
Patient: Um, no.
Doctor: So so you go on the scale, you lost a few pounds, but you haven't been trying to basically.
Patient: No, like I, I don't really weigh myself, but I don't think so.
Doctor: So you haven't been noticing clothes have been fitting loose or anything like that?
Patient: No, no, like I wish but no.
Doctor: Got it, got it. Now let's talk about what you're bringing up with your cough. What colour is it?
Patient: It's really gross. It's kind of like greenish.
Doctor: Greenish, OK, and also any red or any blood with it?
Patient: No.
Doctor: OK. And doesn't smell at all, smell funky?
Patient: I haven't noticed.</x:t>
  </x:si>
  <x:si>
    <x:t xml:space="preserve">V102</x:t>
  </x:si>
  <x:si>
    <x:t xml:space="preserve">[...earlier consultation omitted...]
Doctor: Smell or taste?
Patient: Um I I can't smell as as much, but I think maybe it's just because my nose is so stuffy, but also that made me a little bit concerned about Covid, but no problems with taste.
Doctor: OK, good any weight loss recently?
Patient: Um I've been trying to lose weight, but nothing unintentional I guess.
Doctor: OK yeah, and then any fevers?
Patient: Uh no.</x:t>
  </x:si>
  <x:si>
    <x:t xml:space="preserve">No fevers huh, OK. Any like excessive fatigue?</x:t>
  </x:si>
  <x:si>
    <x:t xml:space="preserve">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
Doctor: No, OK, so it's clear?
Patient: It's clear, yeah.
Doctor: OK, any changes in your vision or hearing?
Patient: No.
Doctor: Smell or taste?
Patient: Um I I can't smell as as much, but I think maybe it's just because my nose is so stuffy, but also that made me a little bit concerned about Covid, but no problems with taste.
Doctor: OK, good any weight loss recently?
Patient: Um I've been trying to lose weight, but nothing unintentional I guess.
Doctor: OK yeah, and then any fevers?
Patient: Uh no.</x:t>
  </x:si>
  <x:si>
    <x:t xml:space="preserve">V103</x:t>
  </x:si>
  <x:si>
    <x:t xml:space="preserve">[...earlier consultation omitted...]
Doctor: OK. Any chest pain?
Patient: Yeah, a little bit actually.
Doctor: Uhm, at rest or?
Patient: Nothing, nothing when I'm not moving.
Doctor: OK, so the chest pain, when did that start?
Patient: First noticed it this winter on the driveway but it wasn't like I know what they say about a heart attack, supposed to like, the crushing pain in your chest that moves up your neck. Nothing like that. It's like my lungs, my throat. Like you're really, really out of breath, you know?</x:t>
  </x:si>
  <x:si>
    <x:t xml:space="preserve">First noticed it this winter on the driveway but it wasn't like I know what they say about a heart attack, supposed to like, the crushing pain in your chest that moves up your neck. Nothing like that. It's like my lungs, my throat. Like you're really, really out of breath, you know?</x:t>
  </x:si>
  <x:si>
    <x:t xml:space="preserve">Can you describe exactly where the discomfort is, what it feels like, how long it lasts, and whether it goes away when you stop and rest?</x:t>
  </x:si>
  <x:si>
    <x:t xml:space="preserve">Doctor: What brings you in?
Patient: Hi, uhm, I've just been a little bit worried, that last the couple of months I've noticed that I've been getting more and more out of breath when I've been doing exercise, and I know I got a brother who had a heart issue and I'm just really concerned that I have something wrong with my ticker, just wanted to get it checked out, you know?
Doctor: Uhm, when did the shortness of breath start?
Patient: So, this winter specifically, like we haven't been too active because of Covid this year, we've just been staying in the house all last year, but with the snow, I'd be shovelling snow whenever it fell and before I could be able to like 2 years ago be able to clear the driveway, no problem, but now even after half the driveway I've noticed I'm getting consisntely out of breath, I've got this nasty cough and it's prompted my wife to get me to call in, she's a little bit worried.
Doctor: So it's mostly on exertion, it doesn't happen at rest, is that correct?
Patient: Being out of breath? No, no.
Doctor: No, OK, ok. And has this ever happened to you before?
Patient: Yeah, about a year and a half ago we went down to Toronto, in order to see the CN tower, and you know, do tourist stuff and we tried we tried to climb a couple flights of stairs to do a little bit, and I could not, I always thought I'm pretty healthy, pretty active but it really took the wind out of my sails, so had to stop, stoop over. Just couldn't do it.
Doctor: Uhm, and how did you manage like how, how was that treated at that time and how did you get better?
Patient: Oh, I didn't do any. I just attributed to being, I don't know, out of shape a little bit and I worked as a mechanic when I was younger. I was pretty active, but ever since retiring thought I'd keep up, at least my stamina won't go away that quickly, but chalked it up to being out of shape and went home.
Doctor: OK. Uhm, so your symptom, your shortness of breath seems to be getting worse, right?
Patient: Yeah.
Doctor: OK, any coughing with that?
Patient: Yeah, yeah. And not necessarily when I noticed it when I was shovelling the driveway. But I've had a call for the last couple of years and usually in the morning I just bring up a little bit of gunk, but most of my buddies have that, just like a morning cough, you know?
Doctor: Yeah, and the gunk that you bring up. What color is it?
Patient: Uh, yellow, sometimes a little brown.
Doctor: OK, and when did that start?
Patient: Oh, it's been going on last 10 years. Well, to be honest since I've been like 30, but it's been fairly consistent, last 10 years I'd say.
Doctor: OK, any blood that you bring up?
Patient: Not that I've noticed, like bright red? No, nothing like that.
Doctor: OK. Any wheeziness?
Patient: Yeah yeah, I noticed that when I was showing, yeah when I was out of breath, it sound sounded different sound different than being usually out of breath but it had to. It sounded wheezy.
Doctor: OK. Any chest pain?
Patient: Yeah, a little bit actually.
Doctor: Uhm, at rest or?
Patient: Nothing, nothing when I'm not moving.
Doctor: OK, so the chest pain, when did that start?
Patient: First noticed it this winter on the driveway but it wasn't like I know what they say about a heart attack, supposed to like, the crushing pain in your chest that moves up your neck. Nothing like that. It's like my lungs, my throat. Like you're really, really out of breath, you know?</x:t>
  </x:si>
  <x:si>
    <x:t xml:space="preserve">V104</x:t>
  </x:si>
  <x:si>
    <x:t xml:space="preserve">[...earlier consultation omitted...]
Doctor: OK. And other than that, are you healthy, do you have any medical conditions at all?
Patient: Um, yeah, I don't have anything I am healthy.
Doctor: OK, any medications that you take on a regular basis?
Patient: No, not not. Nothing. I don't take anything.
Doctor: OK. Any allergies?
Patient: No allergies.</x:t>
  </x:si>
  <x:si>
    <x:t xml:space="preserve">No allergies.</x:t>
  </x:si>
  <x:si>
    <x:t xml:space="preserve">OK. And have you had any surgeries in the past?</x:t>
  </x:si>
  <x:si>
    <x:t xml:space="preserve">Doctor: What brings you in here today?
Patient: I've been having this pain in my knee and it's been going on now for a few weeks. It's kind of right at the, I could feel it right below my kneecap and at first it it was really only bothering me after activity, but now it's starting to hurt during as well, and so it's, it's trying to limit my ability to play basketball.
Doctor: OK, and so you said this started just two weeks ago?
Patient: Yeah, about about a few yeah few weeks ago.
Doctor: OK, and has the pain so it's been getting a bit worse and with activity and it's right below your kneecap, is it the right way or the left leg?
Patient: Yeah, it's on the right side. It's my right right side. Yeah.
Doctor: OK. And what kind of pain are you experiencing, is it kind of a sharp pain or is it a dull aching pain?
Patient: It's, uh, it's pretty achy.
Doctor: Yeah, it take you. OK, and does the pain travel anywhere else or does it, it's just right below your kneecap?
Patient: It's right below my kneecap, yeah I feel like it's just over a kind of a small area it's a pretty specific spot and if I press on that area at all it gives me a pretty, it's a sharp pain if I if I press on it sharp pain.
Doctor: OK. And on a scale of zero to 1010 being the worst pain you felt in your life, how much would you rank the rate this pain?
Patient: I it's about about a six or seven.
Doctor: Six or seven OK. And is it a constant pain, or like do you get the pain when you're not playing basketball or doing other activities?
Patient: Um I'll get it if I'm. Like sometimes I'll feel it if I'm going upstairs like walking upstairs or. Like if I'm sitting for a long, long time and I I get up, it'll feel a bit sore. But it's mostly if I'm like doing activities like running or jumping, doing like strenuous stuff like that.
Doctor: OK I see, an has this ever happened before?
Patient: No, I haven't had any any issues with my knee before.
Doctor: OK. And otherwise, are you having any other symptoms besides the pain, like any numbness, tingling?
Patient: No, nothing like that. It's just the pain.
Doctor: OK, and any weakness in your legs?
Patient: Um no, no weakness.
Doctor: OK, and uh. Have you tried anything that improves the pain at all or anything that makes it worse?
Patient: Um I I have tried taking some like Tylenol and Advil and that or or and NSAIDs that and it has helped with the pain. I've tried icing it too, like after practice and stuff like that which does seem to help a little bit, but uh. Yeah, that's about it.
Doctor: OK. OK, and other than that, did you like have a fall or did you have any injuries recently before you started having this pain?
Patient: No, it's kind of come on on its own, no falls or like trauma to the knee.
Doctor: OK. And other than that, are you healthy, do you have any medical conditions at all?
Patient: Um, yeah, I don't have anything I am healthy.
Doctor: OK, any medications that you take on a regular basis?
Patient: No, not not. Nothing. I don't take anything.
Doctor: OK. Any allergies?
Patient: No allergies.</x:t>
  </x:si>
  <x:si>
    <x:t xml:space="preserve">V105</x:t>
  </x:si>
  <x:si>
    <x:t xml:space="preserve">[...earlier consultation omitted...]
Doctor: Oh OK, OK. Um how about palpitations? Like feeling like your heart is racing?
Patient: Uh no, I don't think so.
Doctor: No, OK. How about some swelling in your limbs?
Patient: I I did notice, like uh a little bit of swelling in my uh both my, like right by my ankles. My shoes, like like even when I wear my socks, it like leaves little marks and then uh I just feel my like my shoes are tighter.
Doctor: OK, OK and how long has that been going on?
Patient: Probably, uh, I've had this issue for like a pretty long time um, probably I would say the last year at least.</x:t>
  </x:si>
  <x:si>
    <x:t xml:space="preserve">Probably, uh, I've had this issue for like a pretty long time um, probably I would say the last year at least.</x:t>
  </x:si>
  <x:si>
    <x:t xml:space="preserve">I'm sorry to hear about your cough. Um, have you tried any medications or treatments so far?</x:t>
  </x:si>
  <x:si>
    <x:t xml:space="preserve">Doctor: So what brings you in?
Patient: Yeah, so um I just came in because uh so I I have this cough that's been going on for the last five years, but over the last month it's really been getting worse. Um and like last week I I've just been constantly coughing. So yeah, I was just a bit concerned.
Doctor: Yeah, OK, so you said the past couple of years you've been coughing. So how many years exactly would that be? Two, three, four?
Patient: Probably five I would say, and I was diagnosed with uh COPD around that time.
Doctor: OK, OK, um the cough that you currently have, um is it a dry cough or are you bringing up any phlegm?
Patient: Uh I'm pretty much always bringing up like this uh white material.
Doctor: White, OK. Um and is it constant throughout the day or do you find it comes and goes?
Patient: It's pretty much there all the time, but uh it's definitely getting worse. Um it is, I think, the worst in the morning um when I wake up and I just feel like there's just a bunch of gunk stuck in the back of my throat.
Doctor: OK. Um and if you were to describe the quality of this cough, would you say it's harsh, barky, muffled?
Patient: I would say it's harsh.
Doctor: Harsh, OK. And has the quality of your cough changed at all in the past few years? Like does it sound different than it used to?
Patient: Um I don't know if it sounds different, but uh especially for the last month I would say I'm bringing up more of the material, and it's usually white over the five years, but um I noticed uh in the last week-ish, it's had a yellowish tinge to it as well.
Doctor: OK, OK, so it's changed a little bit. Um and are you experiencing any shortness of breath with this?
Patient: No I I don't think so, like I sometimes when I'm walking around uh doing more stuff, uh working in the garden like I feel like I might have to breathe a little bit harder, but uh not regularly.
Doctor: OK, OK, that's good. Um and any wheezing?
Patient: Uh, yeah. It's like usually I start coughing a lot more when I'm starting to do any kind of activities and sometimes when I start coughing more, I also start wheezing. Um but uh right now, I'm fine.
Doctor: You're fine now, OK, uh, alright. And sorry, forgot to ask you earlier, do you see any blood in your phlegm?
Patient: No, no, I haven't noticed any blood.
Doctor: OK, any uh changes to your hair or on your skin, like rashes?
Patient: Not that I've noticed, no.
Doctor: OK, any weight loss?
Patient: Um, I don't think so.
Doctor: OK, fevers?
Patient: No.
Doctor: OK, exhaustion?
Patient: Um yeah, I would say like for the last few months I am a bit more tired.
Doctor: Mhmm OK, how about changes in your vision or hearing?
Patient: No, I haven't experienced that.
Doctor: How about a stuffy nose? Runny nose?
Patient: Uh no, not really.
Doctor: No, OK. How about changes to your smell or taste?
Patient: Uh nope.
Doctor: No, OK. Uh chest pain?
Patient: Not chest pain, but when I get into those coughing fits, sometimes it feels just really tight in my chest.
Doctor: Oh, yeah.
Patient: But it tends to go away with uh just some rest.
Doctor: Oh OK, OK. Um how about palpitations? Like feeling like your heart is racing?
Patient: Uh no, I don't think so.
Doctor: No, OK. How about some swelling in your limbs?
Patient: I I did notice, like uh a little bit of swelling in my uh both my, like right by my ankles. My shoes, like like even when I wear my socks, it like leaves little marks and then uh I just feel my like my shoes are tighter.
Doctor: OK, OK and how long has that been going on?
Patient: Probably, uh, I've had this issue for like a pretty long time um, probably I would say the last year at least.</x:t>
  </x:si>
  <x:si>
    <x:t xml:space="preserve">V106</x:t>
  </x:si>
  <x:si>
    <x:t xml:space="preserve">[...earlier consultation omitted...]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x:t>
  </x:si>
  <x:si>
    <x:t xml:space="preserve">Um And not really I can't. I can't think of anything.</x:t>
  </x:si>
  <x:si>
    <x:t xml:space="preserve">OK. And, have you taken any any medicine or anything to try to help with us?</x:t>
  </x:si>
  <x:si>
    <x:t xml:space="preserve">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x:t>
  </x:si>
  <x:si>
    <x:t xml:space="preserve">V107</x:t>
  </x:si>
  <x:si>
    <x:t xml:space="preserve">[...earlier consultation omitted...]
Doctor: No, OK. And then how about on your knees? Do you see any redness or swelling there?
Patient: Not really, no.
Doctor: No. Any atrophy, deformity, or skin changes there?
Patient: Uh, no.
Doctor: No, OK. I'm gonna get you to palpate your hipbones. Does that hurt?
Patient: No, not really.</x:t>
  </x:si>
  <x:si>
    <x:t xml:space="preserve">No, not really.</x:t>
  </x:si>
  <x:si>
    <x:t xml:space="preserve">OK. And then how about on your knees? Does that hurt?</x:t>
  </x:si>
  <x:si>
    <x:t xml:space="preserve">Doctor: What brings you in?
Patient: I've just come in today because I've been having some issues with my hips as well as my knees. Just over the last probably a month or two, I've been just getting, this stiffness and pain especially, uh, throughout the day as the day goes along, and I also experience some stiffness when I wake up in the morning, uh, in my hips and knees, so I just wanted to come and check out what that might be.
Doctor: OK, and you said it started in the past month?
Patient: Yeah, maybe up to two months actually. Yeah, I would say two months.
Doctor: OK, and is the pain and stiffness always there or does it come and go?
Patient: It's, it comes and goes. It's worse in the, so it's stiff, more stiff in the morning first, but like as the day goes on, probably near the afternoon it gets worse. So I've had to stop some of my activities like gardening and being outdoors and things like that.
Doctor: OK. And you said it's, it gets worse with activity. Is there anything else that makes it better or worse?
Patient: Uhm, it probably, yeah, if I'm just exerting myself too much. Uh, in terms of better, I I think I've taken some Advil that does help with the pain.
Doctor: OK, OK. And then if you were to describe the quality of this pain, would you say it's achy, throbbing, dull, or sharp?
Patient: It's kind of like this uh, achy pain, kind of deep within the joints themselves.
Doctor: OK.
Patient: Yeah, it just gets worse. I, as I walk more and do more activities.
Doctor: OK, and does the pain radiate also or does it, or is it pretty localized to your hips and knees?
Patient: It's mainly in those areas.
Doctor: OK. And severity wise, one to 10, 10 being the worst pain you've ever felt, how bad is this pain?
Patient: Probably like a 7.
Doctor: Seven, OK. And have you ever experienced this type of pain before?
Patient: Uh, no, not really.
Doctor: And do you think your pain is getting worse?
Patient: Uhm, I think so. Like over the last two months, I feel like my pain, there's more stiffness, there's more pain throughout the day.
Doctor: OK, OK. And yeah, so do you, are you experiencing any sort of numbness or tingling in the areas?
Patient: No, not really.
Doctor: No, OK. Any muscle weakness?
Patient: Nope.
Doctor: No. Are you still able to walk and do the things that you used to enjoy doing? I know you said gardening was hard for you. How about like other activities of like daily living like, uhm, cooking, using the washroom, things like that?
Patient: Yeah, those things I don't really have too much trouble with.
Doctor: OK, OK, that's good at least. And any dizziness or fainting spells?
Patient: No.
Doctor: No, OK. How about memory loss or confusion?
Patient: No, nothing like that.
Doctor: Any headaches?
Patient: No.
Doctor: No, OK. How about joint pains or muscle aches elsewhere?
Patient: Uhm, no, I haven't really felt any other pain in any other joint so far.
Doctor: OK. And any weight loss recently?
Patient: No.
Doctor: No, OK. How about and fevers or chills?
Patient: Uh, no fevers or chills.
Doctor: No fevers or chills, OK. How about rashes?
Patient: No.
Doctor: And changes in your vision, hearing, smell or taste?
Patient: Nope.
Doctor: Uhm how about coughing, wheezing or shortness of breath?
Patient: Nope.
Doctor: Uhm, chest pain, heart palpitations or fainting?
Patient: No.
Doctor: Changes in your bowel movements?
Patient: Nope.
Doctor: Uh, changes in your urinating?
Patient: Uh, no.
Doctor: OK. And then are you otherwise healthy or do you have any past medical conditions?
Patient: Uhm, so I do have a prior history of hypertension as well as high cholesterol, diabetes, type 2 diabetes and also a bit more on the overweight side.
Doctor: OK, uhm, are you taking any medications for all of this?
Patient: Yeah, so blood pressure, I'm taking this medication called Telmisartan. And then for blood pressure, I'm taking uh, metformin. Sorry, not blood pressure, for diabetes I'm taking metformin.
Doctor: OK.
Patient: And then for the cholesterol I'm taking, and this medication, called Atorvastatin.
Doctor: OK. Alright, and do you have any allergies?
Patient: No allergies.
Doctor: No allergies. And how about immunizations? Are you up to date with them?
Patient: Yeah, as far as I know.
Doctor: OK, that's good. How about family history of musculoskeletal issues?
Patient: Not that I know of, no.
Doctor: No, OK. Then how about uhm, lung or heart conditions?
Patient: No. I I think my father, maybe he had some heart issues. He did have a heart attack in his, let's see, like in the 70s.
Doctor: In his 70s, OK. OK, and then alright, and how about autoimmune conditions?
Patient: Uhm, I don't think so. Uh, I can't, I can't recall any autoimmune condition.
Doctor: OK, an and do you smoke?
Patient: Yeah, I used to smoke a probably up until when I was like 65 or something. So, probably for 40 years of my life.
Doctor: OK, how much did you used to smoke?
Patient: Probably a pack a day pack a day.
Doctor: OK, uhm well, congrats for quitting. I'm sure that wasn't hard. I mean sorry, I'm sure that was hard. Uhm, yeah, so that's good. And have you, do you consume marijuana?
Patient: No.
Doctor: Go to other recreational drugs?
Patient: No. No other recreational drugs.
Doctor: OK, that's good. Do you drink alcohol?
Patient: Uh, nope, not anymore. I used to probably drink some wine here and there, but I've stopped drinking alcohol too.
Doctor: OK. And who do you live with right now? And where do you live?
Patient: Right now, I live with my wife and we live in a small condominium.
Doctor: OK. Uhm, alright, and then any recent sick contacts?
Patient: No.
Doctor: No, OK, how about uhm, uh travel anywhere?
Patient: No.
Doctor: No, OK, that's good. And now I'm just going to get you to do the physical exam part of this interview with me, is that OK?
Patient: Yeah.
Doctor: OK, so we'll take a look at, if you can, if you have a mirror, we'll take a look at both hips first. Do you notice any redness or swelling on those hips?
Patient: No, not really.
Doctor: No, OK. How about any atrophy, deformities, or skin changes?
Patient: No.
Doctor: No, OK. And then how about on your knees? Do you see any redness or swelling there?
Patient: Not really, no.
Doctor: No. Any atrophy, deformity, or skin changes there?
Patient: Uh, no.
Doctor: No, OK. I'm gonna get you to palpate your hipbones. Does that hurt?
Patient: No, not really.</x:t>
  </x:si>
  <x:si>
    <x:t xml:space="preserve">V108</x:t>
  </x:si>
  <x:si>
    <x:t xml:space="preserve">[...earlier consultation omitted...]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x:t>
  </x:si>
  <x:si>
    <x:t xml:space="preserve">OK, so the cough itself hasn't gotten worse, just the shortness of breath and the sputum production.</x:t>
  </x:si>
  <x:si>
    <x:t xml:space="preserve">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
Doctor: OK, and have you had any, uh, episodes where you've woken up in the middle of the night and were really short of breath, you had to, uh, sit up?
Patient: No, no, no.
Doctor: OK, and are you able to lie flat?
Patient: Yes.
Doctor: OK, and you mentioned you were bringing up sputum. Could you describe the color?
Patient: Yeah, I don't know it's kinda yellow, uh, green.
Doctor: Has that changed from before?
Patient: Yeah, yeah, so usually it's just sort of whiteish and foamy, and uh, yeah it's different. And it's more, you know, it's alot more, every time I'm coughing it's just like, spoonfuls, it's a lot more than usual.
Doctor: OK, yeah, it sounds like a lot more and have you noticed any blood?
Patient: No, no, no.
Doctor: OK, and uh, so have you had a cough then?
Patient: Oh yeah, I've had a cough for the past 20 years.
Doctor: OK, and is your cough worse at any particular time of the day, Or does it happen throughout the day?
Patient: Well, it's a bit worse when I'm smoking, but otherwise it's the same.
Doctor: OK, and has your cough been worse these past couple of days as well?
Patient: No.</x:t>
  </x:si>
  <x:si>
    <x:t xml:space="preserve">V109</x:t>
  </x:si>
  <x:si>
    <x:t xml:space="preserve">[...earlier consultation omitted...]
Doctor: Any other visual changes? No, okay. Um, and you've also had chills, but you said you haven't checked your temperature, right?
Patient: No, I haven't, uh, I've been having chills for the last few nights.
Doctor: Yeah, we can definitely check your temperature here in the, um here. Um, and you mentioned that the muscle aches have been quite bothersome for you. Is it all over your body or anyone, uh, in any one muscle group?
Patient: It seems like it's all over.
Doctor: Okay, okay. And um, I'll ask you about a couple other symptoms just to rule out um, any other issues that you might be having. So have you noticed that you've been confused at all over the past few days?
Patient: Uh no, I don't think so.</x:t>
  </x:si>
  <x:si>
    <x:t xml:space="preserve">Uh no, I don't think so.</x:t>
  </x:si>
  <x:si>
    <x:t xml:space="preserve">Have you had any like stiffness or rigidity in your neck?</x:t>
  </x:si>
  <x:si>
    <x:t xml:space="preserve">Doctor: What can I do for you?
Patient: So I've been, just over the last week, I've been feeling pretty sick. I have this pretty bad headache that started like probably a week ago, and then for the last few days I've been having these chills. Um, and I didn't get a chance to measure my temperature at all, um, but the worst thing has been just these muscle aches all over my body, and that's been going on for the last three to four days.
Doctor: Sorry to hear that you're feeling so, uh, horrible over the past week. Um let's uh, let's try to understand this a little bit better. So you've had this headache for the past week or so. Where exactly is it?
Patient: It's kind of just uh, all across my forehead. It's been going to the sides, like into my temples as well.
Doctor: Okay, and what does it feel like? How would you describe it?
Patient: Uh yeah, it feels like, kind of like uh aching um, I, I have had headaches with throbbing before, but it's not so much throbbing it's more just constant, aching pain.
Doctor: Um, if you had to give it a number from 1 to 10, with 10 being the worst um, pain ever, what number would you give it?
Patient: Uh, probably like a 7.
Doctor: Oh wow, yeah, that sounds severe. How long have you, how long has it been a 7 for?
Patient: Um, it's actually a bit better now, but yeah, like over the last week it's been a 7. I would say now, it's probably around 5.
Doctor: Okay. Um, anything that makes the headache better?
Patient: Um I, I take like Tylenol, then like, it gets relieved for a bit, for like a few hours, and then comes back.
Doctor: Anything that you feel makes the headaches worse? Any postures, or positions, or activity or um, any kind of exposure to light or sounds?
Patient: Uh no it's, it's just kind of there. Nothing makes it worse.
Doctor: Do you have nausea or vomiting?
Patient: Uh no, no nausea or vomiting.
Doctor: No. Any sensitivity to light or sounds?
Patient: No.
Doctor: Okay. Uh, and is it only, is it only on one, on one side of your head or forehead, or is it on both sides?
Patient: Uh it, it seems like it's on both sides.
Doctor: And have you noticed any visual changes? Any blurry vision with the headaches?
Patient: No.
Doctor: Any other visual changes? No, okay. Um, and you've also had chills, but you said you haven't checked your temperature, right?
Patient: No, I haven't, uh, I've been having chills for the last few nights.
Doctor: Yeah, we can definitely check your temperature here in the, um here. Um, and you mentioned that the muscle aches have been quite bothersome for you. Is it all over your body or anyone, uh, in any one muscle group?
Patient: It seems like it's all over.
Doctor: Okay, okay. And um, I'll ask you about a couple other symptoms just to rule out um, any other issues that you might be having. So have you noticed that you've been confused at all over the past few days?
Patient: Uh no, I don't think so.</x:t>
  </x:si>
  <x:si>
    <x:t xml:space="preserve">V110</x:t>
  </x:si>
  <x:si>
    <x:t xml:space="preserve">[...earlier consultation omitted...]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x:t>
  </x:si>
  <x:si>
    <x:t xml:space="preserve">Uhm no, not really, it's mainly just when I'm moving around and doing stuff.</x:t>
  </x:si>
  <x:si>
    <x:t xml:space="preserve">OK. And how far can you walk before you feel short of breath?</x:t>
  </x:si>
  <x:si>
    <x:t xml:space="preserve">Doctor: What can I do for you?
Patient: Hey I I came in here today I I just was feeling just a bit short of breath over the last few days and I've had a so I normally have a cough, but I've just been coughing a lot more over the last week and I don't know if it's if it's something else. I I do have a COPD diagnosis which I was diagnosed with like a couple years ago, but this is this seems to be much worse.
Doctor: OK, you said you were diagnosed with COPD couple years ago. Was that two years ago? Three years ago?
Patient: It was almost, probably five years ago.
Doctor: Five years ago, OK, and have you always had this cough since then?
Patient: Yeah I’ve probably had a cough for the last 10 years, I think.
Doctor: OK.
Patient: Yeah.
Doctor: And you you’ve mentioned that this cough has gotten worse over the last week?
Patient: Yeah, I've been coughing a lot more. Even just walking down the stairs from my bedroom to even the kitchen I just have to take a little bit of a breather, just start coughing.
Doctor: OK. And is it a dry cough or are you bringing up any phlem?
Patient: No, I'm bringing up like this. It's usually before this week. It was like kind of a clear to yellow. Sorry clear to white material, but this past week it's been more yellow in color.
Doctor: OK, any blood in there?
Patient: No, I mean notice any blood.
Doctor: OK and you said you were also short of breath, uhm when did that start?
Patient: So that's just in the last few days. But just to clarify, I do get short of breath here and there sometimes I have to use puffers, but the last few days I've just been really short of breath, even even if I walk a little bit after like sit down and, can't really catch my breath.
Doctor: OK. Alright, and do you get short of breath when you're laying down?
Patient: Uhm no, not really, it's mainly just when I'm moving around and doing stuff.</x:t>
  </x:si>
  <x:si>
    <x:t xml:space="preserve">V111</x:t>
  </x:si>
  <x:si>
    <x:t xml:space="preserve">[...earlier consultation omitted...]
Doctor: OK, what's once in awhile?
Patient: Maybe when I'm out with my friends I might sometimes, have a cigarette or two. I used to smoke a lot more, but I'm trying to cut it down.
Doctor: OK. How long have you been smoking for?
Patient: I started smoking in high school, so when I was 18 years old.
Doctor: Mhmm.
Patient: And at that time I would have about 6 cigarettes a day, but then I like I, I knew that smoking wasn't good for me, so I'm trying to cut it down, but my friends still smoke, so sometimes when I go out with them, I'll just have a cigarette or two, maybe like once a month, I would say.</x:t>
  </x:si>
  <x:si>
    <x:t xml:space="preserve">And at that time I would have about 6 cigarettes a day, but then I like I, I knew that smoking wasn't good for me, so I'm trying to cut it down, but my friends still smoke, so sometimes when I go out with them, I'll just have a cigarette or two, maybe like once a month, I would say.</x:t>
  </x:si>
  <x:si>
    <x:t xml:space="preserve">Doctor: That’s great that you’ve cut down so much. Do you use cannabis, vape, or use any other recreational drugs?</x:t>
  </x:si>
  <x:si>
    <x:t xml:space="preserve">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
Doctor: So is it kind of like a sharp pain or like a dull achy pain?
Patient: I don't know, it just feels like like my muscles are hurting like I'm just like coughing so much it's just..
Doctor: OK.
Patient: Dull pain. In the middle of my chest then it goes away.
Doctor: OK, OK, and do you ever feel like your heart's racing?
Patient: No, no.
Doctor: OK. And have you noticed any swelling in your legs, arms, or abdomen?
Patient: No.
Doctor: Any dizziness or fainting spells?
Patient: No.
Doctor: No, OK. Any headaches?
Patient: No.
Doctor: Confusion or memory loss?
Patient: No.
Doctor: Have you noticed any fevers?
Patient: No.
Doctor: Any weight loss?
Patient: No.
Doctor: No. Excessive fatigue or tiredness?
Patient: Uh, no, not really. I've haven't been fatigued. I think I'm I'm fine and feel normal. Other than the cough of course.
Doctor: OK, sure. Any rashes?
Patient: No.
Doctor: How about changes in your vision or hearing?
Patient: No, no concerns there.
Doctor: Have you had a stuffy nose or runny nose?
Patient: No.
Doctor: No, a sore throat?
Patient: Uhm, no.
Doctor: OK, changes to your smell or taste?
Patient: No.
Doctor: No. Have your bowel movements been normal?
Patient: Yeah.
Doctor: Yeah. How about urine?
Patient: Yep, they've been, no concerns.
Doctor: Any nausea or vomiting?
Patient: Uhm, no.
Doctor: No. OK. Have you ever experienced anything like this in the past?
Patient: I kind of had this about, I don't know three or four years ago. I just had this cough, but then it kind of went away on its own in about a week. But now it's been like 2 weeks so I don't know what's happening. If it's something I just want to make sure it's nothing serious.
Doctor: Yeah, for sure. When you had this in the past, were you ever done given a diagnosis?
Patient: No, I didn't go to see a doctor. I just kind of stay at home.
Doctor: OK.
Patient: I thought it was just like a mild infection or something.
Doctor: Mhmm. Have you tried anything for the cough this time around?
Patient: I had some like lozenges and I haven't, and those have been helping me.
Doctor: OK.
Patient: Yeah.
Patient: OK, good. If you were to describe your cough, is it barky, harsh, muffled, like what what would you say the sound of it is?
Patient: Uhm, I don't know. It's kind of like, like a normal cough, you know, like when you're clearing your throat or something, or when you're like when something gets stuck in your throat, just like like a normal cough. I don't think it's barky.
Doctor: OK OK, are you otherwise healthy? Do you have any longstanding medical conditions?
Patient: No, I don't. I don't.
Doctor: No, OK. Have you had any hospitalizations or surgeries in the past?
Patient: I have my wisdom teeth removed.
Doctor: OK, when was that?
Patient: About 8-9 years ago, when I was 17 years of 16 years old, ah, 17 years old.
Doctor: OK, OK, and are you on any medications?
Patient: I'm just taking this birth control pill.
Doctor: OK, which one?
Patient: Uhm, yeah, it's called, uhm, I forget the name.
Doctor: Ah, no worries. And when did you start it?
Patient: I started three years ago.
Doctor: Three years ago, OK. And no side effects, no issues with it?
Patient: No, no, it's all good.
Doctor: And are you up to date with all your immunizations?
Patient: Uh, yeah, I think so.
Doctor: OK. Did you get the flu shot this year?
Patient: No I didn't.
Doctor: No. OK yeah, we recommend getting it out once a year. Just yeah, for your safety and for everyone else's and even if you get the flu, maybe your symptoms won't be as severe and then, do you have any allergies?
Patient: Uh, I don't, no.
Doctor: No, OK. Any family history of lung conditions or heart conditions?
Patient: Uhm, My mom has diabetes.
Doctor: OK.
Patient: And my dad has high blood pressure.
Doctor: OK. Uhm, and then any cancers in the family?
Patient: No.
Doctor: No, OK. And have you been in contact with any any sick people recently?
Patient: No, I've just been staying at home.
Doctor: OK. Uhm, any travel recently?
Patient: No.
Doctor: No, OK. How about umm smoking, do you smoke?
Patient: Uhm, once in awhile.
Doctor: OK, what's once in awhile?
Patient: Maybe when I'm out with my friends I might sometimes, have a cigarette or two. I used to smoke a lot more, but I'm trying to cut it down.
Doctor: OK. How long have you been smoking for?
Patient: I started smoking in high school, so when I was 18 years old.
Doctor: Mhmm.
Patient: And at that time I would have about 6 cigarettes a day, but then I like I, I knew that smoking wasn't good for me, so I'm trying to cut it down, but my friends still smoke, so sometimes when I go out with them, I'll just have a cigarette or two, maybe like once a month, I would say.</x:t>
  </x:si>
  <x:si>
    <x:t xml:space="preserve">V112</x:t>
  </x:si>
  <x:si>
    <x:t xml:space="preserve">I'm going to do some tests.</x:t>
  </x:si>
  <x:si>
    <x:t xml:space="preserve">V113</x:t>
  </x:si>
  <x:si>
    <x:t xml:space="preserve">[...earlier consultation omitted...]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x:t>
  </x:si>
  <x:si>
    <x:t xml:space="preserve">No blood in the stool. I'm just, it's just been really loose.</x:t>
  </x:si>
  <x:si>
    <x:t xml:space="preserve">Doctor: How many episodes of diarrhea have you had in the past day, and are you able to keep fluids down and urinate normally?</x:t>
  </x:si>
  <x:si>
    <x:t xml:space="preserve">Doctor: What brings you in here today?
Patient: Hi, I’ve come in today because I had this cough. It started three days ago and since that time I've also started to have um these headaches and been feeling really kinda achy all over.
Doctor: OK, So what what kind of started first to cough or the aches?
Patient: The cough started first.
Doctor: OK and is it dry cough or a wet cough?
Patient: It's dry.
Doctor: OK so you're not bringing up any sputum or blood or anything like that?
Patient: No, I'm not coughing up any sputum or or blood.
Doctor: OK, that's good. And the muscle aches, uh, so were you doing anything recently? Like anything strenuous increased exercise? Lifting anything or any injuries at all recently.
Patient: No, not nothing I can think of like that.
Doctor: OK, and where are you getting your muscle aches?
Patient: It's like kind of all over the feel, just generally achy.
Doctor: OK, generally ache, OK. And are you getting any kind of headaches or anything like that?
Patient: Yeah, I've had this headache as well. It's kind of come and gone a little bit over the last couple of days, but had a little bit of a headache each day.
Doctor: OK, and the headache where where is it exactly located?
Patient: I feel it right at the front of my my forehead, kind of on both sides of my head. It feels like a band just squeezing around.
Doctor: OK and um. Is it? What kind of pain is it? Is it like aching pain? Is it kind of like a pulsating pain pressure like pain? How would you describe it?
Patient: It's more like pressure,
Doctor: Pressure, OK, and have you do you are you? Are you someone that usually has headaches?
Patient: Every once in awhile, but I mean I don't get them that often. Maybe when I'm sick or don't sleep very well.
Doctor: OK, have you tried anything for your pains or headaches?
Patient: Uh, yeah, I did take some Tylenol and it it helps take that the eye drop a bit. I tried some Advil too. It's so mean that the headaches kind of come and gone a little bit, but I think once that wears off it the headaches come back.
Doctor: OK, and have you tried anything for your cough?
Patient: Um no, I haven't tried anything for the cough.
Doctor: OK, have you had any other symptoms like fevers or chills?
Patient: Um I have I I have felt a little bit feverish. Yeah, I haven't had any chills though.
Doctor: OK, and um. When did you start feeling feverish?
Patient: Um yeah, maybe within the last couple of days as well.
Doctor: And did you manage to get a temperature at all?
Patient: Uh, no. I've just felt really hot.
Doctor: OK, uh any other symptoms like runny nose, sore throat, uh chest pain, anything like that?
Patient: Um. No I haven’t uh had any any sore throat or chest pain, no runny nose either.
Doctor: OK, any shortness of breath?
Patient: No.
Doctor: OK, any recent travel or contact with someone who's been ill?
Patient: Um yeah, I don't. I don't think so. I mean, I I haven't traveled anywhere. I'm in in my nobody in my family's been sick at home.
Doctor: OK, um any nausea or vomiting?
Patient: No.
Doctor: OK, any loss of taste or smell?
Patient: Um. Ah no.
Doctor: No. Any night sweats or fatigue?
Patient: I. No no no..
Doctor: OK um, any changes in your bowel movements, like any diarrhea or constipation?
Patient: Uh yeah, I have had I actually had um. You mentioned diarrhea for the past. A day as well.
Doctor: OK, a diarrhea for. So just for the past day, have you notice any changes in color or have you noticed any blood in it?
Patient: No blood in the stool. I'm just, it's just been really loose.</x:t>
  </x:si>
  <x:si>
    <x:t xml:space="preserve">V114</x:t>
  </x:si>
  <x:si>
    <x:t xml:space="preserve">[...earlier consultation omitted...]
Doctor: Okay, and um, any medical conditions that run in the family?
Patient: Um, I think um, my mom has diabetes, but that's about it.
Doctor: Okay. And um, who do you currently live with? Or do you live alone?
Patient: I live with uh, my mom.
Doctor: Anyone else at the house?
Patient: No, it's just us two.</x:t>
  </x:si>
  <x:si>
    <x:t xml:space="preserve">No, it's just us two.</x:t>
  </x:si>
  <x:si>
    <x:t xml:space="preserve">Okay, and um, have they been feeling unwell recently?</x:t>
  </x:si>
  <x:si>
    <x:t xml:space="preserve">Doctor: Uh, what can I do for you?
Patient: Hi um, yeah so I, I just came here today um, because I've just been feeling um, like I have this really sore throat for the last uh, week, and I've also been getting some chills over the last few nights as well. Um, so yeah, I just came to check it out.
Doctor: Um, okay, and um, when did uh, so your sore throat started um, a week ago. What about um, the chills?
Patient: Um, chills, I've been feeling them over the last few nights um, and I've also just been feeling very tired and um, over the last whole week as well.
Doctor: Okay, um, have you had any difficulties swallowing?
Patient: Um, yeah, I definitely feel like uh, I do get some pain ones following, but it may be just with the sore throat.
Doctor: And um, have you had, uh, have you had any headaches?
Patient: Uh, no headaches.
Doctor: Any uh, stuffy nose or runny nose?
Patient: Uh no, nothing like that.
Doctor: No um, sinus congestion?
Patient: Uh no.
Doctor: Okay, what about uh, cough?
Patient: Um, no, not, not, no cough really. I've also noticed, also like the back of my throat, when I look in the mirror, is like just very red and like angry looking.
Doctor: And um, any difficulties breathing?
Patient: No.
Doctor: Any um, pain in your chest?
Patient: No.
Doctor: Um, do you feel like your heart is racing?
Patient: No, nothing like that.
Doctor: Any changes in your bowel movements, or your urinary, or any urinary concerns?
Patient: Uh, no.
Doctor: No belly pain or muscle aches?
Patient: Uh no, nothing like that.
Doctor: Alright, um, so uh, are you um, do you have any medical conditions that you've been diagnosed with?
Patient: No, I've been pretty healthy all my life.
Doctor: Any medications that you've been on?
Patient: Uh no.
Doctor: Any allergies?
Patient: No allergies.
Doctor: Okay, and um, any medical conditions that run in the family?
Patient: Um, I think um, my mom has diabetes, but that's about it.
Doctor: Okay. And um, who do you currently live with? Or do you live alone?
Patient: I live with uh, my mom.
Doctor: Anyone else at the house?
Patient: No, it's just us two.</x:t>
  </x:si>
  <x:si>
    <x:t xml:space="preserve">V115</x:t>
  </x:si>
  <x:si>
    <x:t xml:space="preserve">[...earlier consultation omitted...]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x:t>
  </x:si>
  <x:si>
    <x:t xml:space="preserve">No, I've never had anything like that before.</x:t>
  </x:si>
  <x:si>
    <x:t xml:space="preserve">Given your recent surgery and immobility, the painful swollen calf, coughing up blood, shortness of breath, and racing heart, I’m very concerned about a blood clot in your leg that may have traveled to your lungs. This can be life-threatening, so you need emergency assessment now—please call emergency services rather than driving yourself.</x:t>
  </x:si>
  <x:si>
    <x:t xml:space="preserve">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x:t>
  </x:si>
  <x:si>
    <x:t xml:space="preserve">V116</x:t>
  </x:si>
  <x:si>
    <x:t xml:space="preserve">[...earlier consultation omitted...]
Doctor: OK, any chills or night sweats?
Patient: No.
Doctor: OK, any muscle ache or general weakness?
Patient: Uh no.
Doctor: OK, so generally it seems like you're pretty well other than this loss of taste slash smell and the dry cough that correct,
Patient: Yes.</x:t>
  </x:si>
  <x:si>
    <x:t xml:space="preserve">Yes.</x:t>
  </x:si>
  <x:si>
    <x:t xml:space="preserve">I'm going to need a chest x-ray.</x:t>
  </x:si>
  <x:si>
    <x:t xml:space="preserve">Doctor: Do you want to tell me what brought you in today?
Patient: Yeah, so for the past two days I I've I've noticed that I can't smell things as well, as I used to be able to smell them and I seem to have lost my sense of taste as well. And I have this mild dry cough. I'm just worried it's covid.
Doctor: OK. You said for a couple days?
Patient: Yes, for two days.
Doctor: OK, have you ever had anything like this before?
Patient: No, no, nothing like this.
Doctor: OK, when you say you feel like you've lost sense of taste and smell, is it totally gone or do you taste a little bit? Or how? How is that working for you?
Patient: The smell isn't totally gone I can still smell something if it smells really really bad and and then and then I can taste really, really salty foods, but I can taste normal things like I can't taste of banana.
Doctor: OK, is that been pretty consistent throughout the last couple of days or is it on and off?
Patient: It's been pretty consistent, yeah.
Doctor: OK. And did this dry cough that start at the same time?
Patient: Yes.
Doctor: And when you say sorry, you said mild cough, and I my next question was do you feel like it's a dry cough or you producing any sputum? Any blood? Or is it to not, not bringing up anything?
Patient: It's dry.
Doctor: OK, has that gotten worse over the last couple of days?
Patient: The dry cough? Um it's been pretty consistent as well.
Doctor: OK is there, have you done anything to try to make it better? Have you taken any over the counter medications or?
Patient: No, I haven't tried anything.
Doctor: OK, OK. Have you had, in addition to these symptoms, have you had any fevers?
Patient: Fevers, no fevers.
Doctor: OK, any difficulty breathing?
Patient: No.
Doctor: OK, any headaches?
Patient: Um no, no headaches.
Doctor: OK, any sore throat?
Patient: No.
Doctor: OK, any chills or night sweats?
Patient: No.
Doctor: OK, any muscle ache or general weakness?
Patient: Uh no.
Doctor: OK, so generally it seems like you're pretty well other than this loss of taste slash smell and the dry cough that correct,
Patient: Yes.</x:t>
  </x:si>
  <x:si>
    <x:t xml:space="preserve">V117</x:t>
  </x:si>
  <x:si>
    <x:t xml:space="preserve">[...earlier consultation omitted...]
Doctor: OK, and does the pain radiate anywhere?
Patient: Uhm, I don't think so, no.
Doctor: OK, so you're feeling it just in the knee and you said moving the knees is painful. Is there anything else that makes the pain worse?
Patient: Uhm, not really like resting it definitely helps, yeah, but I just have to keep it a bit immobilized.
Doctor: OK, and is there anything that that makes the pain better that you've tried like maybe medications or any ice packs or anything like that?
Patient: Uh, not really. I do take some painkillers, so just some Advil, which seems to help a little bit.</x:t>
  </x:si>
  <x:si>
    <x:t xml:space="preserve">Uh, not really. I do take some painkillers, so just some Advil, which seems to help a little bit.</x:t>
  </x:si>
  <x:si>
    <x:t xml:space="preserve">OK. And how often are you taking the Advil?</x:t>
  </x:si>
  <x:si>
    <x:t xml:space="preserve">Doctor: How may I help you?
Patient: I just came in here today, I usually don't come to the doctor that much unless I absolutely need it. Five days ago I started having this pain and swelling in my right knee. So and at first I thought it was just like my arthritis acting up but it's been getting more swollen and painful than usual, so I just wanted to come in and check it out.
Doctor: OK, so when did you first notice that this pain, like when did it get more swollen and painful than usual?
Patient: So like I would say around 5 days ago it started getting more and usually I do get pain in some of my joints but I I don't really get swelling so that was a bit different.
Doctor: OK, and is the joint hot as well, or is there a temperature change?
Patient: It is, it does feel like if I touch the joint it does feel a bit warmer than the surrounding areas.
Doctor: OK, does it look red?
Patient: It It definitely it definitely looks more red than my other knee.
Doctor: OK, and so what knee is it that, that's bothering you right now?
Patient: It's the right knee.
Doctor: OK. And so this pain has been going on for the last five days. Has it been getting better, worse, or staying the same?
Patient: I think it's getting a. It's getting it was getting worse, but it's like a bit better right now.
Doctor: OK.
Patient: Yeah it comes and goes in severity though.
Doctor: OK, and how would you describe the the pain. The character of it, is it sharp, dull, or achy?
Patient: It's it's like someone is stabbing me in the knee and it hurts the most when I'm moving the knee.
Doctor: OK, and does the pain radiate anywhere?
Patient: Uhm, I don't think so, no.
Doctor: OK, so you're feeling it just in the knee and you said moving the knees is painful. Is there anything else that makes the pain worse?
Patient: Uhm, not really like resting it definitely helps, yeah, but I just have to keep it a bit immobilized.
Doctor: OK, and is there anything that that makes the pain better that you've tried like maybe medications or any ice packs or anything like that?
Patient: Uh, not really. I do take some painkillers, so just some Advil, which seems to help a little bit.</x:t>
  </x:si>
  <x:si>
    <x:t xml:space="preserve">V118</x:t>
  </x:si>
  <x:si>
    <x:t xml:space="preserve">[...earlier consultation omitted...]
Doctor: OK. And do you drink alcohol at all?
Patient: I drink occasionally, I'll have like a beer on the weekend.
Doctor: Any recreational drugs like marijuana?
Patient: No.
Doctor: OK. Alright, so I'm just gonna ask a few questions, maybe get you to do some movements and see what hurts the most.
Patient: OK.</x:t>
  </x:si>
  <x:si>
    <x:t xml:space="preserve">OK.</x:t>
  </x:si>
  <x:si>
    <x:t xml:space="preserve">I'd like to examine your back now.</x:t>
  </x:si>
  <x:si>
    <x:t xml:space="preserve">Doctor: What brings you here today?
Patient: Hi, I've been having this back pain for the past month, so I'd just like something for it an and you know image it if possible just to figure out what it is.
Doctor: You've been having it for the last month, is this the first time you're having this back pain?
Patient: Yeah yes.
Doctor: OK and where exactly are you having the back pain?
Patient: It's in my lower back.
Doctor: OK, and what kind of pain are you experiencing, is it like a sharp stabbing pain or is that a dull aching pain?
Patient: It's kind of dull and achy but sometimes I feel like I have little spasms in my back.
Doctor: OK, and how often are you getting these spasms?
Patient: Um I'd say like two to three times a week.
Doctor: OK. And it is this back pain constant, or does it come come and go?
Patient: It's pretty constant, but it gets worse with certain things.
Doctor: So one month ago when it started before then, did you injure yourself at all or, were you doing anything that brought on the pain or did the pain come on gradually?
Patient: So I work in this factory where I move a lot of boxes and I think I may have like lifted a really heavy box or lifted it in an improper position because that's when, that night is when my back started hurting.
Doctor: OK, I see and how long have you worked in this role?
Patient: For the past 30 years.
Doctor: OK Alright. And has the pain become worse at all or has it stayed the same since it started?
Patient: I'd say it's pretty. It's been pretty similar to the start.
Doctor: OK. And does the back pain move anywhere, like for example does it shoot down your legs at all?
Patient: No OK. Have you tried anything that has helped you?
Patient: I've tried some topical analgesics, and you know those fire and ice gels and I think sometimes that helps, but it's always temporary.
Doctor: OK. And what kind of things make your pain worse like, bending down as opposed to stretching backwards?
Patient: Yeah, bending down like it when I flex my back that hurts more than if I straighten it out.
Doctor: OK. Is a bending hurts more and what about bending towards the sides?
Patient: Um a little bit more towards my right side.
Doctor: OK. And are you having any other symptoms, like numbness or tingling in your extremities or back at all?
Patient: No.
Doctor: And any kind of numbness or loss of sensation in your buttocks area or just below your lower back?
Patient: Um no
Doctor: OK. And any fevers or chills?
Patient: Nope.
Doctor: Any night sweats?
Patient: No.
Doctor: Any um skin changes or rashes?
Patient: No.
Doctor: Any, have you been ill recently at all with cough cold symptoms at all?
Patient: No.
Doctor: Do you feel pain in anywhere else, in any other muscles or joints at all?
Patient: Um no.
Doctor: Have you recently had any changes to your weight?
Patient: No.
Doctor: OK. And. Any kind of changes to your bowel movements?
Patient: No.
Doctor: OK. Any kind of issues with urination at all?
Patient: No.
Doctor: And any urinary or fecal retention or incontinence?
Patient: No.
Doctor: Right, so it's just this pain that's been there for the last month, stayed around the same. In terms of your medical history have you been diagnosed with the. Have any medical conditions in the past?
Patient: I have a high blood pressure which I take some Ramipril for.
Doctor: OK. Any allergies to any medications?
Patient: No.
Doctor: OK and have you are using any other medications at all?
Patient: No.
Doctor: Have you been hospitalized or had any surgeries in the past?
Patient: No.
Doctor: OK. Do you have any family history of any musculoskeletal or rheumatologic condition?
Patient: No.
Doctor: Any cancers in the family?
Patient: No.
Doctor: And so currently are you working or did you have to take time off work?
Patient: I'm taking some time off work until I figure out what this back pain is.
Doctor: OK. And currently, what's your living situation like?
Patient: I live in an apartment with my wife and our teenage son.
Doctor: OK. And do you smoke at all?
Patient: I used to smoke. I haven't smoked in over 10 years.
Doctor: OK. And do you drink alcohol at all?
Patient: I drink occasionally, I'll have like a beer on the weekend.
Doctor: Any recreational drugs like marijuana?
Patient: No.
Doctor: OK. Alright, so I'm just gonna ask a few questions, maybe get you to do some movements and see what hurts the most.
Patient: OK.</x:t>
  </x:si>
  <x:si>
    <x:t xml:space="preserve">V119</x:t>
  </x:si>
  <x:si>
    <x:t xml:space="preserve">[...earlier consultation omitted...]
Doctor: How about muscle aches or body pains?
Patient: Uhm, muscle aches, yeah. Yeah, that's been happening.
Doctor: Any particular muscles? Or is it more general?
Patient: It's more general.
Doctor: Have, have you been having any bone pain like any in your back or anything like that?
Patient: No.</x:t>
  </x:si>
  <x:si>
    <x:t xml:space="preserve">OK. And have you had any joint pain or swelling?</x:t>
  </x:si>
  <x:si>
    <x:t xml:space="preserve">Doctor: How may I help you?
Patient: Hi, yeah, I'm here because I'm over the past like couple of months I've been losing a lot of weight. Uhm, but I didn't really have any other symptoms, but since like 2 weeks ago I've been coughing up some blood and now I have a fever as well.
Doctor: OK, so you mentioned you notice the weight loss first. How much weight have you lost? Or roughly?
Patient: I've lost about 30 pounds in the past, past like 8 months.
Doctor: OK. So, and have you been trying to lose weight?
Patient: No.
Doctor: OK and, any, like any changes to your diet or exercise?
Patient: No, nothing like that.
Doctor: OK, and more recently you started to have a cough. When did that start?
Patient: The cough started two weeks ago.
Doctor: OK. And prior to this, did you have a cough?
Patient: No.
Doctor: No. And are you bringing bringing up any sputum or phlegm?
Patient: Uh yeah it's yeah, there's sputum for sure and it looks bloody.
Doctor: OK. So you're, you're, you're coughing up blood as well.
Patient: Yes, that's right.
Doctor: OK, uh, and that's been going going on for the last two weeks too?
Patient: Yes.
Doctor: OK. And how much blood have you been bringing up roughly? If you can think of it in like terms of tablespoons or teaspoons.
Patient: Like every time I cough, it's about the size of a teaspoon.
Doctor: OK, and are there any triggers for your cough that you can think of?
Patient: Uhm, I don't think so. They just happen throughout the day.
Doctor: OK, and have you tried anything for the cough?
Patient: I tried this cough suppressants. I tried like salt water rinses, like just like at home remedies and over the counter products, but nothing is helping.
Doctor: OK. And so have you had any like viral infectious type symptoms, such as like eye, eye discharge or red eyes or runny nose or even a sore throat?
Patient: No, nothing like that.
Doctor: OK. And, and have you had any any headaches?
Patient: No, no headaches.
Doctor: OK. Have you had any, have you had a runny nose?
Patient: No.
Doctor: OK, how about any, have you had any loss of smell or, or taste?
Patient: No.
Doctor: OK, have you had any shortness of breath?
Patient: Uh, no.
Doctor: Have you had any wheezing?
Patient: Uhm, no. No wheezing.
Doctor: OK, have you had any chest pain?
Patient: No.
Doctor: OK. Have you had any dizziness or fainting?
Patient: Uhm, no, nothing like that.
Doctor: Heart palpitations?
Patient: No.
Doctor: OK. And have you had any any nausea or vomiting?
Patient: No.
Doctor: Have you had any abdominal pain?
Patient: No.
Doctor: Have you had any diarrhea or constipation?
Patient: No.
Doctor: Have you had any pain with urination or, or frequency?
Patient: Uh, no.
Doctor: OK, have you had any rashes?
Patient: No.
Doctor: How about muscle aches or body pains?
Patient: Uhm, muscle aches, yeah. Yeah, that's been happening.
Doctor: Any particular muscles? Or is it more general?
Patient: It's more general.
Doctor: Have, have you been having any bone pain like any in your back or anything like that?
Patient: No.</x:t>
  </x:si>
  <x:si>
    <x:t xml:space="preserve">V120</x:t>
  </x:si>
  <x:si>
    <x:t xml:space="preserve">[...earlier consultation omitted...]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x:t>
  </x:si>
  <x:si>
    <x:t xml:space="preserve">No, no sick contacts that I know of. I've been mainly in my house. I do go outside for groceries and some things like that, but other than that I'm retired. I don't really go out too much.</x:t>
  </x:si>
  <x:si>
    <x:t xml:space="preserve">Doctor: Have you been tested for COVID-19 or strep throat since these symptoms began, and have you noticed any swollen or tender glands in your neck or white patches on your tonsils?</x:t>
  </x:si>
  <x:si>
    <x:t xml:space="preserve">Doctor: What brings you in?
Patient: Yeah, so I've been feeling just really down recently in the last week. I started off by having this sore throat which started around 5 days ago and then I also noticed I've been getting some chills over the last few day. And on top of all of that, within the last three to four days I've been getting muscle aches all over my body.
Doctor: OK, alright so the sore throat started 5 days ago and then the fever started when?
Patient: So the fever. I think I haven't measured it, but I started having chills like 3 days ago.
Doctor: Three days ago, OK, and the muscle aches started two days ago?
Patient: I would say 3 days ago as well.
Doctor: Three days ago, OK. OK, are you having any trouble swallowing foods or fluids?
Patient: A little bit with solids with a sore throat but liquids, I'm doing OK right now.
Doctor: OK. And is it hard for you to like, are you having issues vocalising at all?
Patient: No, I think my voice has been the same. It's just when I'm not talking, especially if I'm swallowing my own like spit, it still hurts sometimes, but mainly with solid food.
Doctor: OK, OK and then, are you having any issues with taste or smell?
Patient: Uh, no, I don't think so.
Doctor: OK, how about hearing or vision?
Patient: No, no changes.
Doctor: Any weight loss over the past few weeks?
Patient: No, I probably have gained weight.
Doctor: OK, any fatigue or exhaustion?
Patient: Now that you mention it, I do feel pretty tired over the last few days, I don't know if it's just because of my muscles aching all the time, or I don't know. I have definitely felt very tired.
Doctor: OK, how about changes in your hair, nails or skin like rashes?
Patient: No, nothing like that.
Doctor: Do you have a cough at all?
Patient: No, I haven't really noticed the cough.
Doctor: How about shortness of breath or wheezing?
Patient: No, no shortness of breath or wheezing.
Doctor: OK chest pain or you feeling like your heart's racing?
Patient: No.
Doctor: No, and how about dizziness or fainting spells?
Patient: Uh, no, I haven't had any of those.
Doctor: OK, how about changes to your bowel movements?
Patient: No, I don't think so. I go regularly once a day and I haven't noticed any watery stool or diarrhea.
Doctor: OK, that's good. Any changes in your appetite?
Patient: Yeah, with a sore throat I tend to like eat softer foods right now. I can't really, I don't really feel like eating.
Doctor: Yeah, OK. How about nausea or vomiting?
Patient: No, no, nothing like that.
Doctor: OK, OK, and any issues with joint pain? You said your muscle aches, but how about joints?
Patient: Um, no, I don't think it's specifically my joints. I think more so I would say like around in my thighs. Then I would say just my upper arms hurt a lot. And even, uh, my upper back area hurts a lot as well, so it's kind of just everywhere. But those are some areas that hurt the most.
Doctor: OK, OK, are you otherwise healthy?
Patient: Um, yeah, I do have a couple of things on my list. I do have high blood pressure. I have diabetes and other than that, I also have like high cholesterol.
Doctor: OK.
Patient: Yeah, that's just some of the things that I've been diagnosed with.
Doctor: Yeah, OK, and do you take medication for any of these things?
Patient: Yeah, so I take for the blood pressure, I take this medication called the Ramipril.
Doctor: OK yeah.
Patient: And then for diabetes I'm taking Metformin. And then for the cholesterol I'm taking this medication called Crestor, yeah. Yeah, but other than that, just like vitamin D and multi vitamins. Those are some of the medications that I'm taking.
Doctor: Sure yeah, are you up to date with all your immunizations?
Patient: Yup.
Doctor: OK, do you know if you got a vaccine called Shingrix for shingles and Pneumovax for pneumococcal infections?
Patient: Yeah, I actually think I got them just this past season. Uh, with all this COVID going on, I just wanted to make sure I got all those vaccines as well. So yeah, I recently just got them.
Doctor: OK, good. And and how about any allergies?
Patient: Uh, no, I don't have any allergies.
Doctor: OK, how about family history of lung conditions or heart conditions?
Patient: Uhm, no lung conditions and uhh heart conditions, both my mom and dad suffered from like high blood pressure. My dad also had a heart attack when in his 60s. Now there is some heart conditions that run in the family.
Doctor: OK, OK. And then any cancers in the family?
Patient: Uhm, m son actually got diagnosed with colorectal cancer just a few years ago.
Doctor: Oh, I'm sorry to hear that.
Patient: He's doing OK though. Like it was pretty scary at the time.
Doctor: How old was he when he was diagnosed?
Patient: I think he was, yeah in his forties, 46.
Doctor: OK, well he's yeah, that's young. Have you had a colonoscopy?
Patient: Yeah I had it done. Everything came back normal so yeah, I'm not sure where he got it from.
Doctor: OK. Have you had any sick contacts recently?
Patient: No, no sick contacts that I know of. I've been mainly in my house. I do go outside for groceries and some things like that, but other than that I'm retired. I don't really go out too much.</x:t>
  </x:si>
  <x:si>
    <x:t xml:space="preserve">V121</x:t>
  </x:si>
  <x:si>
    <x:t xml:space="preserve">[...earlier consultation omitted...]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x:t>
  </x:si>
  <x:si>
    <x:t xml:space="preserve">It's a sharp stabbing pain.</x:t>
  </x:si>
  <x:si>
    <x:t xml:space="preserve">OK, so it's a sharp, stabbing pain that worsens with breathing, and sitting up helps slightly.</x:t>
  </x:si>
  <x:si>
    <x:t xml:space="preserve">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x:t>
  </x:si>
  <x:si>
    <x:t xml:space="preserve">V122</x:t>
  </x:si>
  <x:si>
    <x:t xml:space="preserve">[...earlier consultation omitted...]
Doctor: And besides, when you're coughing, do you have any pain in your chest when you're breathing in or out?
Patient: No,
Doctor: No? OK. Alright, any changes to your bowel movements, like any Constipation or diarrhea?
Patient: No.
Doctor: Any urinary issues?
Patient: No.</x:t>
  </x:si>
  <x:si>
    <x:t xml:space="preserve">Have you had any shortness of breath, wheezing, or difficulty breathing, either at rest or with activity?</x:t>
  </x:si>
  <x:si>
    <x:t xml:space="preserve">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
Doctor: OK, and, um, are you having any, uh, other symptoms besides the cough, um, like shortness of breath,sore throat, um, runny nose, congestion, anything like that?
Patient: Uh. yeah, I've had, um, a sore throat, uh, and a headache, as well.
Doctor: OK, and when did the sore throat start?
Patient: Um, that started about five days ago.
Doctor: Five days ago? And has it been getting worse?
Patient: No, that's been about the same.
Doctor: And do you have any difficulty, uh, swallowing at all?
Patient: It's a little sore, but, uh, it's been OK, to eat and drink.
Doctor: OK, and have you noticed any kind of redness in your throat or any swelling around your neck?
Patient: No, I took a look in the mirror as best I could with my phone and I couldn't really notice anything that looked red.
Doctor: OK, and how about the headache? When did that start?
Patient: So it's been, uh, kind of off and on over the past, uh, week or so. Um, feels like a like a pressure sensation and my head is just really squeezing.
Doctor: OK, and um. So is it on one side of your head or both sides?
Patient: Both sides.
Doctor: And it's Kind of like a pressure and squeezing. Is it at all pulsating?
Patient: No
Doctor: No? OK, Is it constant or does it come and go?
Patient: It comes and goes.
Doctor: OK, and have you taken any medications to make any of these symptoms better?
Patient: Yeah, I have used some Advil for the headaches and over the counter medicine at night time to help sleep.
Doctor: OK. Uh,and do you recall doing anything in the last few weeks which you might believe that Uh, caused some of these symptoms? like for example, were you in contact with anyone that was sick at all?
Patient: Well, I'm a nursing student and I've been on rotations in the hospital recently.
Doctor: And anyone that you probably saw in the hospital, anyone sick that you were in contact with?
Patient: I did see some people who had, like, infectious symptoms.
Doctor: OK, and other than that, have you been having any fevers or chills?
Patient: Yeah, I've felt chills.
Doctor: OK chills, and when did you feel them?
Patient: I've been feeling chills throughout the day and at night, I just feel like I can't get warm even with a blanket on.
Doctor: OK, and have you taken your temperature at all?
Patient: No.
Doctor: OK yeah, we can do that for you today. Uh, other than that any recent travel outside of the province.
Patient: No, been just at school.
Doctor: OK, and any loss of sense of taste or smell?
Patient: No.
Doctor: Any nausea or vomiting?
Patient: No.
Doctor: Any night sweats?
Patient: No,
Doctor: OK, any fatigue?
Patient: Yes.
Doctor: OK, and When did that start?
Patient: Just over this past week I've been really tired, I've been been needing naps and not feeling rested in the morning.
Doctor: OK, any chest pain at all?
Patient: Yeah, It does feel sore, kind of, uh, the center of my chest.
Doctor: OK, so any coughing at all?
Patient: Yeah, I feel it, like more, like it does hurt when when I'm coughing, that's kind of what I'm feeling it. I think it's being caused by how much I'm coughing.I kind of feel it there in the center.
Doctor: And besides, when you're coughing, do you have any pain in your chest when you're breathing in or out?
Patient: No,
Doctor: No? OK. Alright, any changes to your bowel movements, like any Constipation or diarrhea?
Patient: No.
Doctor: Any urinary issues?
Patient: No.</x:t>
  </x:si>
  <x:si>
    <x:t xml:space="preserve">V123</x:t>
  </x:si>
  <x:si>
    <x:t xml:space="preserve">[...earlier consultation omitted...]
Doctor: Hospitalizations?
Patient: Uh no.
Doctor: Okay, any allergies to medications, foods, or any environmental allergies?
Patient: Not to any medications, but I do have an allergy to peanuts.
Doctor: Okay, what happens?
Patient: I do get like a, an anaphylactic reaction.</x:t>
  </x:si>
  <x:si>
    <x:t xml:space="preserve">I do get like a, an anaphylactic reaction.</x:t>
  </x:si>
  <x:si>
    <x:t xml:space="preserve">Doctor: Okay, do you carry an epinephrine auto-injector with you, and have you had any recent peanut exposure or allergic symptoms such as hives, swelling, wheezing, or trouble breathing?</x:t>
  </x:si>
  <x:si>
    <x:t xml:space="preserve">Doctor: How can I uh, help you today?
Patient: Hi, so I just came in today because I've been just been feeling um, like my head's just been hurting for the past three or four days and I also felt really cold throughout the day for the last few days as well, so, um, I did end up checking my temperature just yesterday afternoon and it was um, 38.7 degrees celsius.
Doctor: Okay, um. Tell me about the headache, where exactly is it?
Patient: Yeah so it's kind of just throughout like the front of my forehead and it kind of goes to the side into my temple.
Doctor: And what does it feel like?
Patient: It feels like a constant aching. I've had uh, migraines before, but they like, it's not like the pulsating sensation that I usually get with them.
Doctor: I see. Uh, okay, and how severe is the pain, if you had to rate it from 1 to 10?
Patient: Um, more than like severe. It's definitely less severe than my migraines, but it, it's just constant. It's, it's just been there for the last four days and I would say probably a 6 out of 10.
Doctor: Did you do anything for the pain? Did you take any medications? Anything that makes it better?
Patient: Yeah, I took a Tylenol, I took um, Advil. It helps for like a few hours and then it just comes back.
Doctor: And anything that makes the pain worse?
Patient: Um, I definitely think just, if I rest, it's better if, but if I'm like, like I can't, I can't concentrate on work or like anything.
Doctor: Okay. Um, and other than the, um, the fever and headaches, have you um, had any um, cough?
Patient: No, no cough.
Doctor: Runny nose or congestion?
Patient: No.
Doctor: Sore throat?
Patient: No, not really.
Doctor: Changes in your sense of smell?
Patient: Uh, I do actually feel like I, like I am losing my smell today.
Doctor: And sense of taste?
Patient: I just had breakfast today so um, breakfast was okay. I didn't, uh, but yeah, definitely sense of smell.
Doctor: Okay, and any difficulties breathing?
Patient: No.
Doctor: Okay, any chest pain?
Patient: No.
Doctor: Um, do you feel like your heart is racing?
Patient: No.
Doctor: Any diarrhea or constipation?
Patient: No.
Doctor: Nausea or vomiting?
Patient: No.
Doctor: Pain in your belly?
Patient: No.
Doctor: Any muscle aches or joint pains?
Patient: Uh, no, nothing like that.
Doctor: Okay, um, do you feel like your neck is stiff?
Patient: No.
Doctor: Any numbness or tingling in your arms or fingers, or toes?
Patient: No.
Doctor: Any um, night sweats or weight loss, unintentional?
Patient: No, I've only been gaining weight.
Doctor: Okay. Any fluid in your, any sort of, swelling in your legs?
Patient: No, nothing like that really.
Doctor: Okay, um, any medical conditions that you've been diagnosed with?
Patient: Yes, so I have uh, type 2 diabetes. I was just recently started on metformin medication.
Doctor: When were you started on metformin?
Patient: So I think around uh, it's been around two months.
Doctor: Okay, how is that going for you? Are you tolerating it okay?
Patient: Yeah I've, I've been tolerating it well. It's just they, they said like I'm kind of just on the edge of the diabetes, like my level, so they just want to act, um, proactively.
Doctor: Yeah, that's good. Um, any other medical conditions?
Patient: No, that's, that's all.
Doctor: Any medications other than metformin that you take? Anything over the counter?
Patient: Um, so I do take, when my migraines get bad, like I do take, I have taken naproxen before.
Doctor: Okay. Surgeries?
Patient: Uh, no surgeries.
Doctor: Hospitalizations?
Patient: Uh no.
Doctor: Okay, any allergies to medications, foods, or any environmental allergies?
Patient: Not to any medications, but I do have an allergy to peanuts.
Doctor: Okay, what happens?
Patient: I do get like a, an anaphylactic reaction.</x:t>
  </x:si>
  <x:si>
    <x:t xml:space="preserve">V124</x:t>
  </x:si>
  <x:si>
    <x:t xml:space="preserve">[...earlier consultation omitted...]
Doctor: I see, I see, okay. Um, any other, does the chest pain only occur when you're taking a deep breath in?
Patient: Yeah, mainly it's during that time.
Doctor: Okay, um, have you had any other symptoms such as a headache or cough, or runny nose, congestion, sore throat?
Patient: Um, no. No, nothing like that.
Doctor: And changes in your bowel movement? Any pain in your belly?
Patient: No.</x:t>
  </x:si>
  <x:si>
    <x:t xml:space="preserve">Okay, and have you had any fever or chills?</x:t>
  </x:si>
  <x:si>
    <x:t xml:space="preserve">Doctor: Um, what brings you in today?
Patient: Hi, I just came in uh, I just had this sudden, just this morning after I woke up, this sudden shortness of breath and like each time I take a deep breath I'm getting this chest pain.
Doctor: Okay, and this just started this morning, you said?
Patient: Yeah.
Doctor: Were you absolutely fine last night?
Patient: Yeah, I didn't have any trouble last night.
Doctor: I see, I see, okay. Um, any other, does the chest pain only occur when you're taking a deep breath in?
Patient: Yeah, mainly it's during that time.
Doctor: Okay, um, have you had any other symptoms such as a headache or cough, or runny nose, congestion, sore throat?
Patient: Um, no. No, nothing like that.
Doctor: And changes in your bowel movement? Any pain in your belly?
Patient: No.</x:t>
  </x:si>
  <x:si>
    <x:t xml:space="preserve">V125</x:t>
  </x:si>
  <x:si>
    <x:t xml:space="preserve">[...earlier consultation omitted...]
Doctor: No? Any changes in your skin and you rashes, any yellowing of your skin?
Patient: Nothing that I've noticed, no, I don't think so.
Doctor: OK. Any changes in your urine color?
Patient: No.
Doctor: OK, have you noticed blood in your stools at all?
Patient: I have not, no.</x:t>
  </x:si>
  <x:si>
    <x:t xml:space="preserve">I have not, no.</x:t>
  </x:si>
  <x:si>
    <x:t xml:space="preserve">Have you noticed your stools becoming unusually pale or clay-colored?</x:t>
  </x:si>
  <x:si>
    <x:t xml:space="preserve">Doctor: What brings you in here today?
Patient: Yeah hi, I'm I I have a pain in my belly. It started a couple hours ago.
Doctor: OK, and where exactly in your belly do you have this pain?
Patient: It's mostly up here on the right side.
Doctor: The right side, OK and can you describe what kind of pain is it? Is it like a dull pain or sharp pain, an aching pain?
Patient: Oh I guess it's a, it's an aching pain I'd say. It kind of just, um, it would initially just come and go, but now it's just it's staying. It's not going away.
Doctor: OK, and so it's in the right area and does it travel anywhere elsewhere besides on from the right side?
Patient: No.
Doctor: OK. And on a scale of 1 to 10, one being the least amount of pain you felt in your life, and 10 being the worst, how much would you rate it right now?
Patient: It's about to a 10, an 8 maybe.
Doctor: An 8, OK and so just to clarify, when did it start?
Patient: About 8 hours ago.
Doctor: 8 hours ago, OK. And were you doing anything before? Like, did you have a meal or how were you sleeping before it woke you up, what was going on before you had the pain?
Patient: I was just about to go to sleep. I wasn't doing anything in particular at the time.
Doctor: OK. And has it been getting worse since it first started?
Patient: Oh yeah, definitely it would come and go, but now for the past I'd say five to six hours, it's been constant, just there all the time.
Doctor: OK. And have you had any similar pain like this in the past?
Patient: Yeah, uh I I have the same pain that sort of comes and goes after I eat. Usually after I've had something like a something fatty, something from outdoors, maybe like a burger or fries or something. I initially thought it was indigestion, but I don't I don't know what's going on now.
Doctor: OK, and does it, does anything make it better or worse or anything that you've tried?
Patient: Well, I guess eating sometimes makes it worse, um, but I don't I don't think there's anything that's making it better.
Doctor: OK, have you tried any medications at all?
Patient: I tried Tylenol but that didn't do anything.
Doctor: OK. And besides, uh, the pain that you're having, do you have any nausea and vomiting?
Patient: I am a little nauseous, but no, I didn't, haven't had I haven't vomited yet, no.
Doctor: OK, and have you been having any fevers?
Patient: I don't think so. I haven't checked. I don't feel feverish.
Doctor: Any sweats or like chills?
Patient: No,  I don't think so.
Doctor: OK, any changes in your bowel movements like constipation, diarrhea?
Patient: No.
Doctor: OK. Have you traveled anywhere recently?
Patient: No, I haven't.
Doctor: Have you been feeling at all, very tired, not your usual self, fatigued?
Patient: Well the pain is making it difficult for me to do things, um, but I I guess I'm not, uh a little fatigued  maybe.
Doctor: OK. Um, have you been having any changes in your urinary patterns?
Patient: No.
Doctor: No? Any changes in your skin and you rashes, any yellowing of your skin?
Patient: Nothing that I've noticed, no, I don't think so.
Doctor: OK. Any changes in your urine color?
Patient: No.
Doctor: OK, have you noticed blood in your stools at all?
Patient: I have not, no.</x:t>
  </x:si>
  <x:si>
    <x:t xml:space="preserve">V126</x:t>
  </x:si>
  <x:si>
    <x:t xml:space="preserve">[...earlier consultation omitted...]
Doctor: OK, how often?
Patient: Uhm I will maybe smoke once a week.
Doctor: OK, uh, and use any recreational drugs like cocaine or opioids?
Patient: Oh gosh, no.
Doctor: And do you drink alcohol?
Patient: Uh yeah, occasionally.</x:t>
  </x:si>
  <x:si>
    <x:t xml:space="preserve">Uh yeah, occasionally.</x:t>
  </x:si>
  <x:si>
    <x:t xml:space="preserve">OK, how often?</x:t>
  </x:si>
  <x:si>
    <x:t xml:space="preserve">Doctor: How may I help you?
Patient: Hi there, umm, so I've had this runny nose for the past five days and it doesn't seem to be going away so I thought I should get some help.
Doctor: OK, and ah, with the runny nose, could you describe the discharge?
Patient: Yeah, it's, it's pretty clear.
Doctor: OK, and have you had any nasal obstruction or feeling as though like one of your nostrils is plugged when you're breathing in?
Patient: Uh yeah, I have that feeling.
Doctor: OK, have you had any pain on your face?
Patient: Pain? Ah no, nothing like that.
Doctor: OK, how about a change to your sense of smell? Like loss of smell?
Patient: No, I haven't had that.
Doctor: OK. Have you had any discharge from your eyes or eye redness or any eye pain?
Patient: No.
Doctor: Alright, have you had a sore throat?
Patient: Uhm, no sore throat.
Doctor: Have you had a cough?
Patient: No.
Doctor: OK. Have you had any headaches?
Patient: Ah, just a slight headache.
Doctor: OK, I mean, have you experienced headaches like this in the past?
Patient: Yeah, usually when I get sick, I get get a headache.
Doctor: OK. OK, can you describe where you feel the headache the most and is it pulsating or kind of always there?
Patient: It's kind of always there and it's just on the sides of my head.
Doctor: OK, have you tried anything for it?
Patient: Just some Tylenol, which seems to have helped.
Doctor: OK. Uhm, and umm, yeah, have you had a cough?
Patient: Ah no cough like now, uhm, I I did have a slight cough last week.
Doctor: OK, and it went away?
Patient: Mhmm.
Doctor: Was it dry or did you were bringing up any sputum or phlegm?
Patient: No, it's pretty dry.
Doctor: OK. Uhm, and do you have a sore throat?
Patient: No.
Doctor: OK, and have you had any wheezing or shortness of breath?
Patient: No.
Doctor: OK, and have you had any chest pain?
Patient: No.
Doctor: How about any we, sorry, fainting or dizziness?
Patient: No, nothing like that.
Doctor: OK, have you had any heart palpitations or feeling like your heart's racing?
Patient: No.
Doctor: OK, uhm, and have you had any abdominal pain?
Patient: Uhm, I have had some, like diarrhea so I think part like my stomach hurt a little bit during that time, but I don't have that anymore.
Doctor: OK, when did you have diarrhea?
Patient: Last week as well.
Doctor: OK. Uh, was there any blood in the stool?
Patient: No.
Doctor: OK, have you had any changes to your urinary habits? Like any pain or frequency?
Patient: No.
Doctor: Alright, and have you had any nausea or vomiting?
Patient: No.
Doctor: How about any fevers or chills?
Patient: Uh, no.
Doctor: Have you had any night sweats?
Patient: Uh, no, nothing like that.
Doctor: I see, OK. And have you had any weight loss recently?
Patient: No.
Doctor: Alright, have you had any rashes or skin rashes?
Patient: No.
Doctor: And how about any muscle aches or or body pains?
Patient: Oh, no.
Doctor: Alright and how has your energy been? Have you had fatigue?
Patient: Uhm, a little bit.
Doctor: OK, little fatigue and and how has your appetite been?
Patient: Appetite's been OK, I'm still eating.
Doctor: Alright. And, uhm have you been diagnosed with any medical conditions before?
Patient: Uh, no, I've been pretty healthy.
Doctor: OK, great and so do you take any medications regularly, either over the counter or prescribed?
Patient: No.
Doctor: OK, and do you have any allergies?
Patient: No, I don't.
Doctor: OK, and any recent hospitalizations in the past or any prior surgeries?
Patient: Uh, no. Actually, I had my appendix taken out when I was younger, but that was a long time ago.
Doctor: OK, I see. And are you living, ah, can you tell me about where you're living now and who you're living with?
Patient: I'm I'm living by myself. I'm a student. I live in an apartment.
Doctor: OK, and are you going to classes in person right now?
Patient: No, they're all online.
Doctor: OK. And have, have you been around anybody who's been sick?
Patient: No, not that I can think of.
Doctor: OK, and have you traveled anywhere recently?
Patient: No.
Doctor: OK. And you smoke cigarettes?
Patient: I don't.
Doctor: And do you smoke cannabis or use any cannabis products?
Patient: Occasionally, I will.
Doctor: OK, how often?
Patient: Uhm I will maybe smoke once a week.
Doctor: OK, uh, and use any recreational drugs like cocaine or opioids?
Patient: Oh gosh, no.
Doctor: And do you drink alcohol?
Patient: Uh yeah, occasionally.</x:t>
  </x:si>
  <x:si>
    <x:t xml:space="preserve">V127</x:t>
  </x:si>
  <x:si>
    <x:t xml:space="preserve">[...earlier consultation omitted...]
Doctor: OK. And have you had any chest pain?
Patient: No chest pain.
Doctor: Have you noticed any heart palpitations or heart racing?
Patient: No.
Doctor: Right, OK, have you had any wheezing?
Patient: No.</x:t>
  </x:si>
  <x:si>
    <x:t xml:space="preserve">OK, and are you up to date with your vaccinations, including the flu shot and COVID-19 vaccine?</x:t>
  </x:si>
  <x:si>
    <x:t xml:space="preserve">Doctor: Would you mind starting with telling me what brought you in?
Patient: Sure I have had this cough for the past five days and it doesn't seem to be getting any better so I'm just here to ask you what it what it possibly could be.
Doctor: Has the cough been getting any better, staying the same or getting worse over these last five days?
Patient: I think it's getting worse.
Doctor: Are you bringing up any any phlegm?
Patient: No.
Doctor: Okay, are you bringing up any blood?
Patient: No.
Doctor: OK, have you been coughing at night time as well? Is it interfering with your sleep? Or is the cough just during the day?
Patient: Um, it is mostly during the day and in the evenings, it doesn't wake me up from sleep.
Doctor: OK, and any triggers that you've notice 5 days ago or anything that changed at that time to bring on the cough?
Patient: No, nothing.
Doctor: OK. And have you been having any other symptoms with the cough?
Patient: I have a sore throat and I feel like I can't taste things the same.
Doctor: OK, um, are you having any pain with swallowing either liquids or food?
Patient: Um, mostly with foods.
Doctor: OK, and when did the sore throat start?
Patient: It started up around the same time as my cough.
Doctor: OK, and you can't taste your food as well, and when did you notice that?
Patient: That was two days ago.
Doctor: OK, have you noticed any any loss of smell?
Patient: No, no I don't think so.
Doctor: OK, and have you had any difficulties breathing or short of breath?
Patient: No.
Doctor: OK. And have you had any symptoms like this before?
Patient: No, nothing like this.
Doctor: OK. And how has your energy level been? Have you been fatigued?
Patient: A little bit, yes.
Doctor: OK. Have you had any changes to your vision or or hearing?
Patient: No.
Doctor: Any mucous or pain or discharge from either your ears or nose?
Patient: No.
Doctor: OK, so your nose hasn't been runny, but has it felt congested?
Patient: umm, no.
Doctor: OK, have you had any fevers or chills?
Patient: I don't know about fevers. I guess I was feeling a little bit hot last night, but I didn't take my temperature.
Doctor: OK, so possibly a fever. I will certainly check your temperature today to investigate that. Have you had any night sweats?
Patient: Umm, no night sweats.
Doctor: Alright. And have you had any weight loss in the last few months?
Patient: No.
Doctor: OK. And have you had any chest pain?
Patient: No chest pain.
Doctor: Have you noticed any heart palpitations or heart racing?
Patient: No.
Doctor: Right, OK, have you had any wheezing?
Patient: No.</x:t>
  </x:si>
  <x:si>
    <x:t xml:space="preserve">V128</x:t>
  </x:si>
  <x:si>
    <x:t xml:space="preserve">[...earlier consultation omitted...]
Doctor: OK, and so how many days would you say you've been short of breath?
Patient: Less than a day, maybe just really kind of started last night and has carried out throughout this morning. I, I called this morning to get an appointment.
Doctor: OK, and it, was it brought on by any activities or were you doing anything at that time before it started?
Patient: No, last last night I was, well, I was just doing my regular kind of routine after dinner - cleaning up and just the cough started first. And over, the over the night it got worse. I could just couldn't catch my breath and that was similar this morning.
Doctor: OK, so you've also had a cough.
Patient: Yeah I have. Yeah, uh, I've had a cough for a long time now, but it's been worse over this last day.</x:t>
  </x:si>
  <x:si>
    <x:t xml:space="preserve">Yeah I have. Yeah, uh, I've had a cough for a long time now, but it's been worse over this last day.</x:t>
  </x:si>
  <x:si>
    <x:t xml:space="preserve">I'm going to need some more information about your cough.</x:t>
  </x:si>
  <x:si>
    <x:t xml:space="preserve">Doctor: So what brings you in today?
Patient: Yeah, I've had, I've had a cough for a number of years now, but store these past like day, it's gotten a lot quite a bit worse and I've been really short of breath.
Doctor: OK, and so how many days would you say you've been short of breath?
Patient: Less than a day, maybe just really kind of started last night and has carried out throughout this morning. I, I called this morning to get an appointment.
Doctor: OK, and it, was it brought on by any activities or were you doing anything at that time before it started?
Patient: No, last last night I was, well, I was just doing my regular kind of routine after dinner - cleaning up and just the cough started first. And over, the over the night it got worse. I could just couldn't catch my breath and that was similar this morning.
Doctor: OK, so you've also had a cough.
Patient: Yeah I have. Yeah, uh, I've had a cough for a long time now, but it's been worse over this last day.</x:t>
  </x:si>
  <x:si>
    <x:t xml:space="preserve">V129</x:t>
  </x:si>
  <x:si>
    <x:t xml:space="preserve">[...earlier consultation omitted...]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x:t>
  </x:si>
  <x:si>
    <x:t xml:space="preserve">Yeah, for the most part, yeah, feeling better, but I still have a cough.</x:t>
  </x:si>
  <x:si>
    <x:t xml:space="preserve">OK. Uhm, have you had any chest pain?</x:t>
  </x:si>
  <x:si>
    <x:t xml:space="preserve">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x:t>
  </x:si>
  <x:si>
    <x:t xml:space="preserve">V130</x:t>
  </x:si>
  <x:si>
    <x:t xml:space="preserve">[...earlier consultation omitted...]
Doctor: Have you traveled anywhere recently?
Patient: No, not since I moved here.
Doctor: OK, when did you move here and where did you move from?
Patient: I moved here a year back from Sri Lanka.
Doctor: OK. And, and in Sri Lanka, were any of your family members or people that you spent time around ever diagnosed with tuberculosis?
Patient: I mean, it's pretty common in Sri Lanka. None of my immediate family members were.</x:t>
  </x:si>
  <x:si>
    <x:t xml:space="preserve">I mean, it's pretty common in Sri Lanka. None of my immediate family members were.</x:t>
  </x:si>
  <x:si>
    <x:t xml:space="preserve">Doctor: Have you ever been tested for tuberculosis before, or received the BCG vaccine or any treatment for latent TB?</x:t>
  </x:si>
  <x:si>
    <x:t xml:space="preserve">Doctor: How may I help you?
Patient: Hi, yeah, I'm here because I'm over the past like couple of months I've been losing a lot of weight. Uhm, but I didn't really have any other symptoms, but since like 2 weeks ago I've been coughing up some blood and now I have a fever as well.
Doctor: OK, so you mentioned you notice the weight loss first. How much weight have you lost? Or roughly?
Patient: I've lost about 30 pounds in the past, past like 8 months.
Doctor: OK. So, and have you been trying to lose weight?
Patient: No.
Doctor: OK and, any, like any changes to your diet or exercise?
Patient: No, nothing like that.
Doctor: OK, and more recently you started to have a cough. When did that start?
Patient: The cough started two weeks ago.
Doctor: OK. And prior to this, did you have a cough?
Patient: No.
Doctor: No. And are you bringing bringing up any sputum or phlegm?
Patient: Uh yeah it's yeah, there's sputum for sure and it looks bloody.
Doctor: OK. So you're, you're, you're coughing up blood as well.
Patient: Yes, that's right.
Doctor: OK, uh, and that's been going going on for the last two weeks too?
Patient: Yes.
Doctor: OK. And how much blood have you been bringing up roughly? If you can think of it in like terms of tablespoons or teaspoons.
Patient: Like every time I cough, it's about the size of a teaspoon.
Doctor: OK, and are there any triggers for your cough that you can think of?
Patient: Uhm, I don't think so. They just happen throughout the day.
Doctor: OK, and have you tried anything for the cough?
Patient: I tried this cough suppressants. I tried like salt water rinses, like just like at home remedies and over the counter products, but nothing is helping.
Doctor: OK. And so have you had any like viral infectious type symptoms, such as like eye, eye discharge or red eyes or runny nose or even a sore throat?
Patient: No, nothing like that.
Doctor: OK. And, and have you had any any headaches?
Patient: No, no headaches.
Doctor: OK. Have you had any, have you had a runny nose?
Patient: No.
Doctor: OK, how about any, have you had any loss of smell or, or taste?
Patient: No.
Doctor: OK, have you had any shortness of breath?
Patient: Uh, no.
Doctor: Have you had any wheezing?
Patient: Uhm, no. No wheezing.
Doctor: OK, have you had any chest pain?
Patient: No.
Doctor: OK. Have you had any dizziness or fainting?
Patient: Uhm, no, nothing like that.
Doctor: Heart palpitations?
Patient: No.
Doctor: OK. And have you had any any nausea or vomiting?
Patient: No.
Doctor: Have you had any abdominal pain?
Patient: No.
Doctor: Have you had any diarrhea or constipation?
Patient: No.
Doctor: Have you had any pain with urination or, or frequency?
Patient: Uh, no.
Doctor: OK, have you had any rashes?
Patient: No.
Doctor: How about muscle aches or body pains?
Patient: Uhm, muscle aches, yeah. Yeah, that's been happening.
Doctor: Any particular muscles? Or is it more general?
Patient: It's more general.
Doctor: Have, have you been having any bone pain like any in your back or anything like that?
Patient: No.
Doctor: OK, and, uh, how has your energy been?
Patient: Ah, pretty low.
Doctor: OK, and how is your appetite been?
Patient: Uhm, also pretty low.
Doctor: OK. And in the in the past have you been diagnosed with any medical conditions?
Patient: Uhm, no, I've been pretty healthy so far.
Doctor: OK. Uhm, so do you take any medications regularly for anything?
Patient: No.
Doctor: OK. And do you have any allergies to medications or, or anything environmental?
Patient: Uh, no.
Doctor: OK, and have you had any prior hospitalizations or surgeries?
Patient: Uhm, no.
Doctor: OK. And, uh, could you tell me a little bit about your living situation currently? Like who you're living with an ah, whereabouts you're living?
Patient: Uhm, I live alone by myself. I live in an apartment downtown.
Doctor: OK, and are you working currently or in school or?
Patient: Um, I'm working from home right now.
Doctor: OK, have you been around anybody who's been sick?
Patient: No.
Doctor: Have you traveled anywhere recently?
Patient: No, not since I moved here.
Doctor: OK, when did you move here and where did you move from?
Patient: I moved here a year back from Sri Lanka.
Doctor: OK. And, and in Sri Lanka, were any of your family members or people that you spent time around ever diagnosed with tuberculosis?
Patient: I mean, it's pretty common in Sri Lanka. None of my immediate family members were.</x:t>
  </x:si>
  <x:si>
    <x:t xml:space="preserve">V131</x:t>
  </x:si>
  <x:si>
    <x:t xml:space="preserve">[...earlier consultation omitted...]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x:t>
  </x:si>
  <x:si>
    <x:t xml:space="preserve">Maybe a couple of years a week.</x:t>
  </x:si>
  <x:si>
    <x:t xml:space="preserve">I'm sorry, but I don't understand your question. Please rephrase or ask another question.</x:t>
  </x:si>
  <x:si>
    <x:t xml:space="preserve">Doctor: How may I help you?
Patient: So I've been having a lot of trouble in the last two weeks of especially this past week of just a lot of shortness of breath. I'm getting a lot of coughing as well and producing a lot of material. And also I think I might have been having a fever this week as well.
Doctor: OK, uh, the shortness of breath is it happening at rest or exertion and how much exertion?
Patient: Uhm, I think it's happening mostly on exertion. Usually I'm able to walk around the house, no issues, go up and down stairs, but right now I'm pretty limited. I can't really go up and down stairs without getting really short of breath. I can't even walk from the bedroom to the kitchen without becoming shortness of, like short of breath.
Doctor: OK, um OK, and when did that change happen?
Patient: So I would say one week ago is when this all kind of started.
Doctor: OK, and has it been getting any better, worse, or staying the same?
Patient: I would say it's kind of getting worse. I'm coughing a lot more sputum up. I'm getting more and more short of breath. Now, I do have a call for like a very long time now I've I was diagnosed with COPD in my 60s. Probably like 10 years ago and but this seems to be just a much worse than my COPD.
Doctor: OK, sure it's been a lot worse in the last week it sounds like. OK. Uhm have you, are you able to lie flat? Like on your back without experiencing shorter breath, shortness of breath?
Patient: Yeah, and when I'm resting or lying down or trying to sleep I don't get short of breath.
Doctor: OK, and have you ever had instances where you woke up in the middle of the night really short of breath and you had to sit up to catch your breath?
Patient: Uh no, I don't think so.
Doctor: OK, have you noticed any leg swelling?
Patient: No.
Doctor: OK, and you said that to you, so you've had a cough for awhile now, but it's gotten worse. This past week in your, are you bringing up sputum?
Patient: Yeah, I'm bringing up a lot of materials. I think every time I cough I'm bringing some sputum up and right now the like usually the color is like clear to whitish but right now it's a bit more yellow.
Doctor: OK, so a change in the sputum color and also sounds like you're bringing up more sputum as well.
Patient: Yeah.
Doctor: OK and have you brought up or coughed up any blood? So have you had any hemoptysis?
Patient: No, nothing like that.
Doctor: OK, and have you had any wheezing?
Patient: Uhm, I do but when I get short of breath I have some wheezing, but usually I don't.
Doctor: OK, but but you've had wheezing this past week though.
Patient: Yeah.
Doctor: Yeah OK. And have you had any chest pain?
Patient: Just when I'm coughing and getting short of breath, I do have some discomfort in my chest.
Doctor: OK, uh, do you feel that, or could you describe he the pains character? Like is it sharp, dull, or achy?
Patient: It's more just an ache and it's kind of more of a discomfort than a pain, and it kind of goes away once my episode of coughing and shortness of breath is relieved with some rest.
Doctor: OK. Uh, and uh, have you been experiencing any fevers or chills?
Patient: Yeah, I've been noticing that I'm getting a lot more chills this past week. They kind of come and go, but even at night I get like these chills that after wrap myself up in at least three blankets.
Doctor: OK, and have you had a fever?
Patient: Uh, I didn't get a chance to measure any of them, but I might have had a fever just from the chills that I'm expecting that I had a fever.
Doctor: OK, and have you had any night sweats?
Patient: No.
Doctor: OK and have you had any unexpected weight loss over the last several months?
Patient: No, I think my weights been pretty steady.
Doctor: OK. Have you had any headaches?
Patient: No.
Doctor: Have you had any like eye redness or eye discharge?
Patient: No, not that I know of.
Doctor: OK, have you had a runny nose or a sore throat?
Patient: No.
Doctor: OK, have you had a loss of taste or loss of smell?
Patient: No, nothing like that.
Doctor: OK. Have you had any nausea or vomiting?
Patient: No.
Doctor: Have you had any abdominal pain?
Patient: No abdominal pain.
Doctor: Have you had any diarrhea?
Patient: No.
Doctor: Have you had any constipation?
Patient: No.
Doctor: Have you had any skin rashes?
Patient: No.
Doctor: Any muscle aches or joint pains?
Patient: No, nothing like that.
Doctor: OK, and have you had any any fatigue?
Patient: Maybe a little bit more tired just with the shortness of breath and chills and everything like that, but yeah, so a little bit more fatigue.
Doctor: OK, and have you had any fainting or dizziness?
Patient: Uh, no.
Doctor: Or, OK and have you had any heart palpitations?
Patient: Nope.
Doctor: Alright. And have you been diagnosed with any medical conditions in the past?
Patient: No. Oh sorry, medical conditions in the past? COPD I have. I also do have some high blood pressure and I take some medications for cholesterol as well.
Doctor: OK, so you take medications for cholesterol and high blood pressure and you use any inhalers?
Patient: No. Sorry, inhalers I, use, uh, two different kinds of inhalers. So one of them is just when I like need it, uh, like I've been using a lot more recently, like the Ventolin. And then I also have another inhaler called Spiriva that I've been using as well.
Doctor: OK, and do you have any allergies?
Patient: Uhm I do have an allergy to sulfa drugs.
Doctor: And what reaction?
Patient: I usually break out into hives.
Doctor: OK, and any prior surgeries or hospitalizations?
Patient: So I've had a surgery to remove my appendix when I was really young. Then I've had another surgery for my hips as well, but yeah, other than that, no other issues.
Doctor: OK. And are your immunizations up to date?
Patient: Yeah, all of my immunizations should be up to date.
Doctor: OK, excellent and could you tell me a little bit about where you're living currently and who you're living with?
Patient: Yeah, so I, I currently live alone in, in an apartment just in the city. And yeah, I've been living alone for probably the last five years.
Doctor: OK, and have you been around anybody who's been sick?
Patient: Uhm, not recently. I think I just I just go out to get groceries and stuff. I haven't really been going out too much.
Doctor: Alright, So have you traveled anywhere?
Patient: No.
Doctor: OK uhm, do you drink alcohol?
Patient: Maybe a couple of years a week.</x:t>
  </x:si>
  <x:si>
    <x:t xml:space="preserve">V132</x:t>
  </x:si>
  <x:si>
    <x:t xml:space="preserve">[...earlier consultation omitted...]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x:t>
  </x:si>
  <x:si>
    <x:t xml:space="preserve">Um it's it's pretty constant throughout the day. It's just it just feels bad at night because it um makes it hard for me to fall asleep.</x:t>
  </x:si>
  <x:si>
    <x:t xml:space="preserve">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x:t>
  </x:si>
  <x:si>
    <x:t xml:space="preserve">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x:t>
  </x:si>
  <x:si>
    <x:t xml:space="preserve">V133</x:t>
  </x:si>
  <x:si>
    <x:t xml:space="preserve">Doctor: What brings you in today?
Patient: Yeah, so I've had this cough that started within the last day and uhm, I've also been particularly short of breath as well.
Doctor: OK. Can you tell me about the, the cough, how, is it dry cough or wet cough?
Patient: It's wet, I've been bringing up, uh, sputum that's uh, It's just, it leaves a really bad taste in my mouth when bringing it up.
Doctor: What color is the sputum?
Patient: It's kind of, uh, like, yellowish green, type color.</x:t>
  </x:si>
  <x:si>
    <x:t xml:space="preserve">It's kind of, uh, like, yellowish green, type color.</x:t>
  </x:si>
  <x:si>
    <x:t xml:space="preserve">Have you had any fever, chills, chest pain, or noticed any blood in the sputum?</x:t>
  </x:si>
  <x:si>
    <x:t xml:space="preserve">V134</x:t>
  </x:si>
  <x:si>
    <x:t xml:space="preserve">[...earlier consultation omitted...]
Doctor: OK, any changes in his bowel movements?
Patient: No diarrhea.
Doctor: No, OK. Natural vomiting?
Patient: No, he hasn't had any nausea or vomiting.
Doctor: OK, uhm how about changes to his appetite?
Patient: Yeah, his appetite's been a bit down, yeah.</x:t>
  </x:si>
  <x:si>
    <x:t xml:space="preserve">Yeah, his appetite's been a bit down, yeah.</x:t>
  </x:si>
  <x:si>
    <x:t xml:space="preserve">I'm going to order some blood work and urine analysis.</x:t>
  </x:si>
  <x:si>
    <x:t xml:space="preserve">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
Doctor: Clear, OK. Alright and does he feel like he also has a stuffy nose or is it just a runny nose?
Patient: More just runny. Yeah he doesn't mention anything about feeling stuffy.
Doctor: OK. Any symptoms like redness, any discharge?
Patient: Uh, no, yeah, uh, he hasn't had any any eye symptoms.
Doctor: OK, how about hearing wise?
Patient: Uh, hearing has been been normal.
Doctor: And visions been normal?
Patient: It has, yeah.
Doctor: OK. Any ear pain or discharge?
Patient: Ah, nope, no ear pain or, or discharge.
Doctor: OK, how about a change in smell or taste?
Patient: No.
Doctor: No, OK. Weight loss?
Patient: He he's been gaining weight, hasn't had any weight loss.
Doctor: OK, any rashes?
Patient: No.
Doctor: No. Sore throat?
Patient: Yeah, yeah, he's had a bit of a sore throat.
Doctor: OK.
Patient: But he hasn't he's just kind of mentioned it. He said it wasn't too bad. He's still been been eating. Eating is that hasn't been eating as much, but he's got a poor appetite, but he, so this sore throat isn't bugging him that much that much.
Doctor: OK. And how about dizziness or fainting spells?
Patient: No.
Doctor: No, OK. Numbness or tingling?
Patient: No.
Doctor: Muscle ache or joint pains?
Patient: Yeah, yeah he has had uh, he did mention that he just feels like a key a little bit all over.
Doctor: OK, any changes in his bowel movements?
Patient: No diarrhea.
Doctor: No, OK. Natural vomiting?
Patient: No, he hasn't had any nausea or vomiting.
Doctor: OK, uhm how about changes to his appetite?
Patient: Yeah, his appetite's been a bit down, yeah.</x:t>
  </x:si>
  <x:si>
    <x:t xml:space="preserve">V135</x:t>
  </x:si>
  <x:si>
    <x:t xml:space="preserve">[...earlier consultation omitted...]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x:t>
  </x:si>
  <x:si>
    <x:t xml:space="preserve">Uh, I would say, uh, a 6, it's pretty painful.</x:t>
  </x:si>
  <x:si>
    <x:t xml:space="preserve">OK, um, have you noticed any kind of like swelling around your neck? Or any redness in your throat?</x:t>
  </x:si>
  <x:si>
    <x:t xml:space="preserve">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x:t>
  </x:si>
  <x:si>
    <x:t xml:space="preserve">V136</x:t>
  </x:si>
  <x:si>
    <x:t xml:space="preserve">[...earlier consultation omitted...]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x:t>
  </x:si>
  <x:si>
    <x:t xml:space="preserve">No, no, no cancer is in the family.</x:t>
  </x:si>
  <x:si>
    <x:t xml:space="preserve">Doctor: Thank you. I’d like to examine your throat and tonsils, feel the lymph nodes in your neck, and examine your abdomen—particularly the upper left side—for any spleen enlargement. Given the fever, worsening sore throat, fatigue, swollen neck nodes, rash, and left-sided discomfort, I’m considering infectious mononucleosis, strep throat, and COVID-19. Have you taken any antibiotics, including amoxicillin, since these symptoms began?</x:t>
  </x:si>
  <x:si>
    <x:t xml:space="preserve">Doctor: How may I help you today?
Patient: Umm, yeah so I just came in today with, I've been having a few symptoms for the last I would say 5 days. So I've had, it started with a sore throat just five days ago, kind of just very irritating sore throat sensation that's kind of gotten worse over the last few days. And then I started getting a fever four days ago and it has been going on for the last couple of days as well. And the highest temperature I measured on myself was 38.8 degrees Celsius and yeah, so that, that's, that's my main concern right now.
Doctor: OK and, since the sore throat started 5 days ago has it been getting better, worse or staying the same?
Patient: I would say it's getting worse. I have some pain with swallowing food as well as, like now, even when I'm talking a little, I'm getting some pain as well.
Doctor: OK, have you been able to maintain your appetite?
Patient: I do feel like I've lost a bit of my appetite over the last three to four days.
Doctor: OK, and have you noticed any changes to your voice?
Patient: Uhm, I don't think so, not yet, I, but I think, like the way it's hurting right now, I feel like it's coming.
Doctor: Alright, so have you notice any like neck swelling?
Patient: Yeah, now that you mention it, I, I do have like these two lumps on the right side of my neck, like kind of right below the jaw.
Doctor: OK. Are they painful?
Patient: Uhm, not, not really. Like when I'm pressing on them they don't really hurt, but I definitely have two lumps.
Doctor: I see, OK. We'll, certainly look into that on the physical exam. OK, and uh, and you mentioned that you've also been really tired over these last few days?
Patient: Yeah, I've, I haven't really had much of an appetite, kind of just, I've skipped work, just trying to take it easy like just napping the whole day, as much as I can.
Doctor: OK, and so you've been experiencing fatigue. Have you had any, any headaches?
Patient: No headaches, no.
Doctor: Alright, how about any eye redness or runny nose, or?
Patient: Uh no, no runny nose, or, so I, I don't have headaches, but I, I, I think I was having some body aches just yesterday.
Doctor: OK, so any particular area that, that's aching?
Patient: Uhm, not really. It's kind of just like a general, like I don't know if it was, it was because I was lying around the whole day, but just kind of a general pain throughout the body.
Doctor: OK. And have you been experiencing any difficulties, or sorry, have you been experiencing any cough?
Patient: No, not really.
Doctor: OK, how about any shortness of breath or trouble breathing?
Patient: No.
Doctor: OK, have you had any wheezing?
Patient: No wheezing.
Doctor: Alright, and how about any chest pain?
Patient: No, no, no chest pain.
Doctor: Have you had any heart palpitations or, or feeling like your heart's racing?
Patient: No.
Doctor: OK, uhm, and, maybe you had any lightheadedness or, or dizziness?
Patient: Uh, no, not really.
Doctor: Have you had any abdominal pain?
Patient: Uhm, actually, yeah, yesterday when I was, uhm, like when I was having the body pain, I also noticed a little bit of abdominal pain just, like on the upper, I would say upper left side.
Doctor: OK, and, and how would you describe this pain and how long has it been going on for?
Patient: Just since yesterday. It's, it's not really like, I would say it's more of a discomfort than a pain, but I definitely do feel like like something's just not right in that area.
Doctor: I see, is there anything that you do that, that makes that, that feeling worse, or make, that make it better?
Patient: Yeah, like I, I try not to lie on that side. I have to go on to the other side.
Doctor: Alright, did you notice this in the last couple of days as well?
Patient: Yeah, that, that just started yesterday.
Doctor: OK. Have you had any nausea or vomiting?
Patient: No.
Doctor: How about any diarrhea?
Patient: No.
Doctor: Alright, and have you had any fevers or, or sorry, yeah, you mentioned you had a fever of 38.2. And have you had any chills?
Patient: Uhm, no chills, well, yeah, I would say a couple nights ago I might have had some chills, but mainly it's just been, I've been feeling more hot and I have been kind of getting like night sweats.
Doctor: OK, you've been having night sweats this week or have they been going on longer?
Patient: No, just, just this week.
Doctor: Alright, have you had any changes to your weight over the last several months?
Patient: No, it's been pretty steady.
Doctor: Alright, and the fever this week, has it been there the whole time, or has it come and gone?
Patient: It kind of comes and goes. I've probably taken temperatures like every day. But I would say it's definitely, for the last few days it's been more of a fever, like the nightsweats sensation. Before it was a bit fine, like, but the highest temperatures have been in the last few days.
Doctor: OK, have you noticed any skin changes or rashes?
Patient: Uhm, just like, I, I don't know, like I don't think there are any changes, but I did notice some, like kind of just pink, pink spots on my arm the other day.
Doctor: OK, well uh, were they itchy?
Patient: No, they weren't really itchy. Just like a couple I would say like raised, not raised spots, just like flat, kind of pinkish spots.
Doctor: OK, and has that, has that spread anywhere or has it gone away?
Patient: No, hasn't really started spreading yet, I just noticed it on, on my arm, and I, I don't think it has really spread at all.
Doctor: OK, this is on, on one arm?
Patient: Yeah.
Doctor: OK. And you've had some body aches, uh, have you had any joint pains?
Patient: No join pains, no.
Doctor: OK, and are you currently sexually active?
Patient: Yes.
Doctor: Alright, and could you tell me a little bit about your partners or, or partner and I, and I was wondering if you use condoms?
Patient: Yeah, so I, I just have one partner right now, my fiance, and we Uh, I actually like have in an IUD, so like we, we don't use condoms, but like we're pretty honest and safe with each other. I fully trust him, like he doesn't have any partners or anything like that and I only have, I don't have any other partners as well.
Doctor: OK, have you had a sexually transmitted infection before?
Patient: No, never.
Doctor: OK, any concerns currently? Any vaginal discharge or itchiness or, or pain?
Patient: No, nothing like that.
Doctor: OK, and have you been pregnant before?
Patient: No, I haven't no.
Doctor: OK. And have you been diagnosed with any medical conditions before?
Patient: Uhm, just uh, I have had just eczema in the past, but that, that's fairly stable. It's been treated, I don't really have it anymore.
Doctor: OK, do you take any medications regularly?
Patient: Currently, no, no.
Doctor: Any allergies to medications?
Patient: No.
Doctor: Alright, uhm, and any hospitalizations or surgeries in the past?
Patient: No.
Doctor: OK. And could you tell me a little bit about your living situation currently, like, who you live with, and, and where?
Patient: Yeah, so I'm just living with my fiance and that's, we're living in like a small apartment. And right now we're not really seeing anyone else really during the pandemic.
Doctor: OK, so have you been around anybody who's been sick?
Patient: I just had to go into work like one day last week just to grab some of my stuff, but didn't really come into contact with anyone. My fiance does go to his work like a couple, like three or four times during the week, so I don't know if he got into contact with anyone, It's, it's hard to say.
Doctor: Has he been sick at all? Like any, any cough, sore throat, anything, like that?
Patient: He did have a sore throat last week, but it kind of just went away on its own in a couple of days and compared to me, like, his was nothing really.
Doctor: OK, uh. And have you traveled anywhere?
Patient: No.
Doctor: And do you smoke cigarettes?
Patient: No.
Doctor: How about do you smoke marijuana or use any cannabis products?
Patient: Uh, probably smoke marijuana, just maybe once or twice a month.
Doctor: OK, so it sounds like socially?
Patient: Yeah.
Doctor: Do you use any other recreational drugs?
Patient: No, nothing else.
Doctor: OK. And do you drink alcohol?
Patient: Yeah, I, Probably have some red wine every other day, I would say.
Doctor: OK, and this is like one glass or two?
Patient: Yeah, no, It's just like a normal glass of wine. Maybe, like we probably go through like a bottle between both of us, like every two weeks, maybe.
Doctor: OK. And in the family, has there been anybody who's had any cancers?
Patient: No, no, no cancer is in the family.</x:t>
  </x:si>
  <x:si>
    <x:t xml:space="preserve">V137</x:t>
  </x:si>
  <x:si>
    <x:t xml:space="preserve">Doctor: What brings you in today?
Patient: Hey, so I just for the last couple days I've just been feeling really short of breath really rundown. Just like super tired and you know, normally really active and I'm just, I'm just having a rough go.
Doctor: Is there is the shortness of breath knew for you?
Patient: Yeah yeah, it's just like just like I can't. I don't know like I can't catch up. I kind of just feel I feel a bit weak like I've just been feeling really tired and then because of that I haven't really been eating a lot so. Yeah, I don't know.
Doctor: So. You've just been feeling very tired, can you I guess, like tell me a little bit more about your difficulty with breathing. When does it happen?
Patient: I think just like overall, I'm finding it like it's hard to hard to get like super deep breaths it's not like I I can't. I don't get the feeling that I can't breathe. It's just that everything's a little bit more like laborious.</x:t>
  </x:si>
  <x:si>
    <x:t xml:space="preserve">I think just like overall, I'm finding it like it's hard to hard to get like super deep breaths it's not like I I can't. I don't get the feeling that I can't breathe. It's just that everything's a little bit more like laborious.</x:t>
  </x:si>
  <x:si>
    <x:t xml:space="preserve">Doctor: So you're saying that your breathing is labored, but you're not having any difficulty getting air in or out?
Patient: Yeah, yeah, it's just like I'm finding it hard to get deep breaths and then when I do breathe in, it's a little bit more difficult to breathe out.</x:t>
  </x:si>
  <x:si>
    <x:t xml:space="preserve">V138</x:t>
  </x:si>
  <x:si>
    <x:t xml:space="preserve">[...earlier consultation omitted...]
Doctor: OK, running or stuffy nose?
Patient: No, my, I haven't had anything like that.
Doctor: Sore throat?
Patient: No.
Doctor: No, OK, how about that loss of smell or taste?
Patient: Uh yeah I have actually. Yeah, I have.</x:t>
  </x:si>
  <x:si>
    <x:t xml:space="preserve">Uh yeah I have actually. Yeah, I have.</x:t>
  </x:si>
  <x:si>
    <x:t xml:space="preserve">OK, and when did you first notice the loss of smell or taste?</x:t>
  </x:si>
  <x:si>
    <x:t xml:space="preserve">Doctor: What brings you in?
Patient: Hi I umm, so I started to have this cough that started like 2 days ago and also these last couple of days I've just had this headache and feeling really achy all over.
Doctor: OK, I'm sorry you said it started a day, two days ago?
Patient: Yeah, it's more like one to two days. All of this is kind of started. I think the the cough started 1st and then the headache and achiness has come after. I felt a bit feverish as well. I haven't checked my temperature but I, I felt feverish.
Doctor: OK. The cough, is it dry, or are you bringing up any phlegm?
Patient: It's pretty dry.
Doctor: Dry, OK, so no blood and no sputum?
Patient: No blood or sputum.
Doctor: OK, do you feel short of breath?
Patient: No thats I haven't been short of breath.
Doctor: OK, how about wheezing?
Patient: No wheezing.
Doctor: OK. And any chest pain?
Patient: No, I haven't had any chest pains.
Doctor: OK, alright. And the headache one to 10, 10 being the worst head, worst pain you've ever been in. How bad was it?
Patient: I'd say a four. It's just been kind of there the whole, so it's really annoying. I've tried some Tylenol and it's taken a little bit off the the I mean the edge off a little bit, but it's just been kinda there still.
Doctor: OK. And is it a throbbing kind of pain or is it a dull, achy pain?
Patient: It's a kind of a dull, achy pain.
Doctor: OK. Uhm, alright and where is it located?
Patient: Uh kind of in the front of uh I have my over my head and on both sides as well.
Doctor: OK, OK. Any feelings of feeling like your heart's racing?
Patient: No, I haven't felt like that.
Doctor: OK, any dizziness or fainting spells?
Patient: No, I haven't had anything like that.
Doctor: Confusion or memory loss?
Patient: No, nothing like that.
Doctor: OK, and any neck pain or stiffness?
Patient: No, nothing like that.
Doctor: OK, running or stuffy nose?
Patient: No, my, I haven't had anything like that.
Doctor: Sore throat?
Patient: No.
Doctor: No, OK, how about that loss of smell or taste?
Patient: Uh yeah I have actually. Yeah, I have.</x:t>
  </x:si>
  <x:si>
    <x:t xml:space="preserve">V139</x:t>
  </x:si>
  <x:si>
    <x:t xml:space="preserve">[...earlier consultation omitted...]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x:t>
  </x:si>
  <x:si>
    <x:t xml:space="preserve">No, I haven't.</x:t>
  </x:si>
  <x:si>
    <x:t xml:space="preserve">OK, and what about fever or chills? Have you felt hot or cold recently?</x:t>
  </x:si>
  <x:si>
    <x:t xml:space="preserve">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x:t>
  </x:si>
  <x:si>
    <x:t xml:space="preserve">V140</x:t>
  </x:si>
  <x:si>
    <x:t xml:space="preserve">[...earlier consultation omitted...]
Doctor: OK. And any family history of lung conditions?
Patient: No, not that I know.
Doctor: How about heart conditions?
Patient: No, I think my father has high blood pressure if that's like a heart condition.
Doctor: OK, sure. And how old was he when he got that?
Patient: He's around like 60s right now, so probably like in his 40s.</x:t>
  </x:si>
  <x:si>
    <x:t xml:space="preserve">He's around like 60s right now, so probably like in his 40s.</x:t>
  </x:si>
  <x:si>
    <x:t xml:space="preserve">OK, and do you smoke or have you ever smoked?</x:t>
  </x:si>
  <x:si>
    <x:t xml:space="preserve">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
Doctor: How about swelling? Have you noticed any swelling in like your legs or arms or your belly area?
Patient: No, I don't think so.
Doctor: OK, how about you feeling like your heart's racing?
Patient: No, no, nothing like that.
Doctor: OK, how about a calf pain?
Patient: No, no.
Doctor: Any dizziness or fainting spells?
Patient: No, nothing like that.
Doctor: Headaches?
Patient: No.
Doctor: Confusion or memory loss?
Patient: I don't think so.
Doctor: Have your bowel movements been normal?
Patient: Yeah, I like go three times a day and I don't have any diarrhea or anything.
Doctor: OK, how about urinating wise?
Patient: Everything normal there. Yeah, no trouble.
Doctor: OK,nausea or vomiting?
Patient: No.
Doctor: Joint pain or muscle ache?
Patient: No, I don't think so.
Doctor: OK. Any Contacts with sick people around you recently?
Patient: My wife was actually just sick last week, but she recovered. She did have a fever for one of the days and she also had a cough.
Doctor: OK, did she get it checked out in a clinic?
Patient: No, I don't think so. She did get that COVID test done, but it came back negative and she didn't go to the doctor or anything. It kind of just went away on its own.
Doctor: OK, any travel recently?
Patient: No.
Doctor: Are you otherwise healthy? Do you have any longstanding medical conditions?
Patient: Just as a child. I had, probably in my teens, had my appendix removed, but nothing other than that.
Doctor: OK. OK, no hospitalizations other than that too, right?
Patient: No, No.
Doctor: Are you on any medications?
Patient: No, I just take some multi vitamins.
Doctor: OK, and are you up to date with all your immunizations?
Patient: Yeah, as far as I know.
Doctor: OK, how about allergies?
Patient: I do have like some, I get some runny nose around spring time probably I think I'm allergic to pollen.
Doctor: OK. And any family history of lung conditions?
Patient: No, not that I know.
Doctor: How about heart conditions?
Patient: No, I think my father has high blood pressure if that's like a heart condition.
Doctor: OK, sure. And how old was he when he got that?
Patient: He's around like 60s right now, so probably like in his 40s.</x:t>
  </x:si>
  <x:si>
    <x:t xml:space="preserve">V141</x:t>
  </x:si>
  <x:si>
    <x:t xml:space="preserve">[...earlier consultation omitted...]
Doctor: OK. Alright, so let's move on to the physical exam part of this interview. So if you can, I'm going to get you to take a look at both your hips as well as your legs. Do you notice any redness or swelling in the area?
Patient: I do notice some swelling. It's a little bit red. I can't really see too much red.
Doctor: OK. OK. Any muscle atrophy? Any deformities or skin changes like bruises?
Patient: Uh, maybe some bruising, but I, I don't notice anything else.
Doctor: OK. Alright. And then when you place the back of your hand on both hips, do you notice any temperature changes? Is one side warmer than the other?
Patient: It's a little bit warmer, the right side than the left.</x:t>
  </x:si>
  <x:si>
    <x:t xml:space="preserve">It's a little bit warmer, the right side than the left.</x:t>
  </x:si>
  <x:si>
    <x:t xml:space="preserve">OK. And then when I touch the area, do you notice any tenderness?</x:t>
  </x:si>
  <x:si>
    <x:t xml:space="preserve">Doctor: How can I help you?
Patient: Hi, I just was brought in here today. I had a fall just waking up coming down the stairs. I fell off the last few stairs and just fell onto the right side and on, right onto my head and now, uh I couldn't even I could barely stand up and put any weight on my hip. It's the right hip.
Doctor: OK, Uhm, so what caused you to fall in the 1st place? Did you just lose balance, were you dizzy?
Patient: I think I just I missed, I wasn't dizzy or anything. I just missed one of the steps and just slipped, slipped down the stairs.
Doctor: OK.
Patient: But it was just the last few stairs I didn't have like I didn't hit my head or anything like that.
Doctor: OK, and when was this?
Patient: This was a so I guess now two hours ago.
Doctor: Two hours ago, OK. Has a pain been constant since?
Patient: Yeah, it's, it's really excruciating.
Doctor: OK, does anything make it better or worse?
Patient: No, it's I'm just in extreme pain. Like I I I can't even put any weight on it.
Doctor: OK, so you can't, OK so you can't weight bear, and you can't walk on on that leg I guess.
Patient: Mhmm.
Doctor: OK. Is it a sharp kind of pain or is it dull and achy?
Patient: It's uh, it's pretty sharp, like if I'm not putting any weight on it right now, it's like really achy. But if I put any weight on, it's really sharp.
Doctor: OK. And where is this pain exactly? Is it just in your right hip or is it radiating up into your upper anterior lower back or down to your leg?
Patient: It's in the right hip, mostly just on the side, but the pain is kind of like, all over the right side of my groin and I feel like there's some swelling there as well.
Doctor: OK. And one to 10, 10 being the worst pain ever. How bad is your pain?
Patient: I would say 10, like I've never experienced pain like this.
Doctor: 10, OK. And do you, have you ever had pain like this before? Like have you ever had a fall in the past?
Patient: No, this isn't this is the first time I've had a fall.
Doctor: OK, any numbness or tingling?
Patient: Uhm, no, not that I can tell, no.
Doctor: Dizziness or fainting spells?
Patient: Uhm, after the fall out like this, I I don't know if it's due to the pain, but even in the ambulance, coming out of the ambulance I was feeling a little bit dizzy, but I don't know if that's just 'cause of the pain.
Doctor: OK, any headaches?
Patient: No.
Doctor: Confusion or memory loss?
Patient: No
Doctor: Uh, joint pains or muscle aches elsewhere?
Patient: No
Doctor: Weight loss recently?
Patient: No.
Doctor: Fevers or chills?
Patient: Nope.
Doctor: Uhm, and rashes?
Patient: Uh no.
Doctor: Any changes to your vision, hearing, smell or taste?
Patient: No.
Doctor: Any, uh, you experiencing any cough, uhm, shortness of breath or wheezing?
Patient: No.
Doctor: OK, how about chest pain or heart palpitations?
Patient: No, not that I have experienced.
Doctor: OK, and how about changes your bowel movements?
Patient: Nope.
Doctor: OK, how about changes to urine?
Patient: No, nothing.
Doctor: OK. And. Are you otherwise healthy? Do you have any longstanding medical conditions?
Patient: Yeah, so I just have a, uhm I do have some osteoarthritis and then I have, I take this medication for blood pressure. It's called uh, Ramipril.
Doctor: OK. OK, and is that the only medication that you're on?
Patient: Uh, yeah. And then I'm just on vitamins like vitamin D, calcium and just multivitamins.
Doctor: OK. And are you up to date with your immunizations?
Patient: Yes.
Doctor: Yeah, OK. Any allergies?
Patient: Uh, no, not that I know of.
Doctor: OK. Any family history of lung or heart conditions?
Patient: Uhm, I think, uh my father, he died of a heart attack in his 60s.
Doctor: OK, OK, any musculoskeletal issues?
Patient: Uhm, no, I don't think so.
Doctor: No. Uhm, how about autoimmune conditions?
Patient: No, not that I know of.
Doctor: Any cancers?
Patient: Uh, I think, my, my mother had some skin cancer, but the ones that, she didn't need any surgery, they just zapped them off.
Doctor: OK. Uhm and do you smoke?
Patient: No, I've never smoked?
Doctor: OK, uhm, do you drink alcohol?
Patient: Just maybe like a wine, what every other day, a glass of of wine.
Doctor: OK, and then do you consume marijuana in any form?
Patient: No.
Doctor: OK. And how about in terms of where you live? Who do you live with and where do you live?
Patient: I live with uhm, just my husband and and we just live in a small apartment.
Doctor: OK. And have you been in touch with any, anyone sick recently?
Patient: Uh. No, I've I've been like at home with my husband. We haven't really left.
Doctor: OK. And have you done any travel recently?
Patient: Uhm, no, I've just stayed at home.
Doctor: OK. Alright, so let's move on to the physical exam part of this interview. So if you can, I'm going to get you to take a look at both your hips as well as your legs. Do you notice any redness or swelling in the area?
Patient: I do notice some swelling. It's a little bit red. I can't really see too much red.
Doctor: OK. OK. Any muscle atrophy? Any deformities or skin changes like bruises?
Patient: Uh, maybe some bruising, but I, I don't notice anything else.
Doctor: OK. Alright. And then when you place the back of your hand on both hips, do you notice any temperature changes? Is one side warmer than the other?
Patient: It's a little bit warmer, the right side than the left.</x:t>
  </x:si>
  <x:si>
    <x:t xml:space="preserve">V142</x:t>
  </x:si>
  <x:si>
    <x:t xml:space="preserve">[...earlier consultation omitted...]
Doctor: Headaches?
Patient: No.
Doctor: No, OK. Are you otherwise healthy? Do you have any longstanding medical conditions?
Patient: I have diabetes.
Doctor: OK, how long have you had diabetes?
Patient: It's about, it's been uh seven years now.</x:t>
  </x:si>
  <x:si>
    <x:t xml:space="preserve">It's about, it's been uh seven years now.</x:t>
  </x:si>
  <x:si>
    <x:t xml:space="preserve">Seven years. OK. And are you on any medications for your diabetes?</x:t>
  </x:si>
  <x:si>
    <x:t xml:space="preserve">Doctor: What brings you in?
Patient: Hi. Uh, I've just had this cough for the past week and I was worried I might have Covid so I just wanted to um I just wanted to be checked.
Doctor: Sure, so you mentioned you, it started a week ago.
Patient: Yeah.
Doctor: Has it been persistent or does it come and go?
Patient: Um it's just been there.
Doctor: Been there. OK.
Patient: Yeah, I just get this itchy sort of uh like scratchy sensation in my throat. And then I just cough and um that makes it better.
Doctor: OK. OK, uhm what, how would you describe your cough like is it barky? Is it harsh? Is it muffled?
Patient: Uhm no, I don't I don't think it's barky or harsh.
Doctor: OK, and does anything make it better or worse like you know, like the cold air, laying down, at particular time of day?
Patient: Not really, I haven't uh, nothing's really helped. Um I also tried a cough syrup, um it didn't, it helped for a couple hours, but then it was back again. The cough was back again.
Doctor: OK, and have you ever experienced anything like this in the past?
Patient: Uh well, I I said yeah when I get a cold.
Doctor: Mhmm, OK.
Patient: Once a year maybe.
Doctor: Once a year? OK. Um do you experience any shortness of breath with this cough?
Patient: No.
Doctor: No, OK. Is it a dry cough or do you bring up any phlegm?
Patient: No, it's a dry cough.
Doctor: OK, uh any blood that you've seen?
Patient: No, no.
Doctor: No, OK. And do you feel wheezy?
Patient: No.
Doctor: No, chest pain?
Patient: No.
Doctor: No, um feeling like your heart's racing?
Patient: No.
Doctor: Any swelling in your limbs?
Patient: Uh no.
Doctor: No, any fainting spells?
Patient: Uhm, no.
Doctor: No, OK. Do you ever feel like your nose is stuffy or runny?
Patient: No.
Doctor: No, any changes in your vision or hearing?
Patient: Uh no.
Doctor: A sore throat?
Patient: No.
Doctor: Um loss of smell or taste?
Patient: No.
Doctor: Any weight loss?
Patient: Uh no.
Doctor: Fevers?
Patient: I checked no, no, I don't have a fever.
Doctor: No, any rashes?
Patient: No.
Doctor: Issues uh, any changes in your bowel movements?
Patient: Um uh no, I've just been constipated from time to time, but that's nothing, that's not new.
Doctor: OK, constipation. And I'm sorry when did your constipation start?
Patient: Oh it's a problem for years. I don't eat enough fibre.
Doctor: Oh, OK. Any changes in your urine?
Patient: No.
Doctor: OK, any nausea or vomiting?
Patient: Uh, no.
Doctor: No, OK. Any joint pain?
Patient: No.
Doctor: No, numbness or tingling?
Patient: No.
Doctor: Headaches?
Patient: No.
Doctor: No, OK. Are you otherwise healthy? Do you have any longstanding medical conditions?
Patient: I have diabetes.
Doctor: OK, how long have you had diabetes?
Patient: It's about, it's been uh seven years now.</x:t>
  </x:si>
  <x:si>
    <x:t xml:space="preserve">V143</x:t>
  </x:si>
  <x:si>
    <x:t xml:space="preserve">[...earlier consultation omitted...]
Doctor: OK, alright was there anything that changed two days ago that might have triggered the cough?
Patient: I don't think so, although she does go to daycare.
Doctor: OK, uh and so has she been bringing up any sputum with the cough?
Patient: No, no sputum that I've noticed.
Doctor: OK, notice any blood?
Patient: No.</x:t>
  </x:si>
  <x:si>
    <x:t xml:space="preserve">I'm going to ask you a few questions about your daughter's symptoms.</x:t>
  </x:si>
  <x:si>
    <x:t xml:space="preserve">Doctor: Would you mind by starting to tell me what brought you in?
Patient: Sure, my 5 year old daughter, I noticed that she's been coughing a lot over the past two days. She sounds like she has a stuffy nose and now she's got this pink eye so I just wanted to get it checked out by you.
Doctor: Yeah, for sure. So the cough started 5 days ago?
Patient: Two days ago.
Doctor: OK and is the cough barky or harsh sounding?
Patient: Yes, it sounds harsh.
Doctor: OK, alright was there anything that changed two days ago that might have triggered the cough?
Patient: I don't think so, although she does go to daycare.
Doctor: OK, uh and so has she been bringing up any sputum with the cough?
Patient: No, no sputum that I've noticed.
Doctor: OK, notice any blood?
Patient: No.</x:t>
  </x:si>
  <x:si>
    <x:t xml:space="preserve">V144</x:t>
  </x:si>
  <x:si>
    <x:t xml:space="preserve">[...earlier consultation omitted...]
Doctor: OK, I see. Um any cancers in the family?
Patient: Uh, no.
Doctor: OK. Um and do you smoke?
Patient: No.
Doctor: No, OK. How about marijuana?
Patient: No.</x:t>
  </x:si>
  <x:si>
    <x:t xml:space="preserve">Doctor: What brings you in?
Patient: Um I just uh I have, I have a cough that I've had for a couple of days and like normally if I had a cough or cold, I would just like stay home and rest, but just because you know there's like Covid I I wanted to make sure, like I wanted to get checked out.
Doctor: Yeah, of course that that was a great idea. Thanks for coming in. Um how long have you had this cough for?
Patient: Uh it's like 2 days. Like maybe three days ago, I started to feel like my throat was dry and I was like, oh, maybe I need to drink more water or something and then the next day I started like actually coughing.
Doctor: OK, is it a dry cough or a wet cough?
Patient: Yeah it's really dry.
Doctor: Really dry, OK. So no sputum, no blood that you're bringing up?
Patient: No, nothing like that. It's just kind of annoying.
Doctor: Yeah, um do you have any wheeziness associated with your coughing?
Patient: I don't think so.
Doctor: No, OK. No shortness of breath?
Patient: No, no, I've been, I feel like I've been tired, but I don't think it's been actually hard to breathe. I just feel overall like really tired.
Doctor: OK, OK, and have you tried anything for the cough, like um over the counter cough syrup or anything like that?
Patient: Uh like I have, I've just been drinking tea and just like tea with honey just to like make it feel better. I I didn't like take any medicine.
Doctor: OK, and do you, have you noticed that there are any triggers for your cough, like the cold, or dust, or any like environmental triggers?
Patient: I mean, I've been, just because of Covid and stuff, I've been staying home ever since I had it. Uh so, I don't, I can't think of anything, but I don't think so.
Doctor: OK, and do you find that it's constantly there or um is it worse during a particular time of day, like morning, afternoon, or evening?
Patient: It's kind of just been there all the time right now.
Doctor: OK, and um is it getting worse, do you think?
Patient: I think so. I think like today is worse than yesterday, and the day before that, it just felt like dry and then and then like the next day I started coughing, so yeah.
Doctor: OK, and have you ever experienced anything like this in the past?
Patient: I mean, I've had coughs before, um this one feels like particularly dry, but uh like it, it's not too different than like when I'm just like, like had a cough in other years.
Doctor: OK, OK. Um and you mentioned that your throat was also dry. Do you have a sore throat?
Patient: Maybe a little bit this morning, yeah, like at first it just felt dry like I was thinking like, oh it's like you know I need to take a sip of water or something and now it just feels, now it's starting to think, I feel a little bit sore, I think.
Doctor: OK, um is it hard for you to swallow foods or fluids?
Patient: Oh sorry, could you repeat that? I just missed the last part.
Doctor: Oh no worries. Is it hard for you to swallow food or fluids?
Patient: Uh no, it's not hard. It's not hard to swallow things.
Doctor: OK um, and then have you had a runny nose or a stuffy nose?
Patient: No, not particularly.
Doctor: No, OK. How about any changes to your hearing or vision?
Patient: No.
Doctor: No, how about changes in smell or taste?
Patient: Uh, no, that's like a Covid thing, right? Like I was hoping because I could still, I could still like taste my coffee this morning, I was hoping that that means I don't have Covid, but yeah, I don't really know.
Doctor: I mean yeah, some people have it, some people don't. Um I guess people with Covid present in different ways, yeah yeah, do you have a fever at all?
Patient: Um like when I came in here, when the nurse took my temperature, she said I had um, like she said I had a fever. Uh I don't have a thermometer at home, um but like I've been feeling really hot so would probably, I've probably been having it for a couple of days.
Doctor: OK, OK, we can take, yeah we can take your temperature. Sorry, did you say you already took your temperature today and?
Patient: The nurse took it, yeah, I don't know what it was, but the nurse kept coming in and she said it was a little high like I don't know if it was like a fever but I've been feeling hot, so.
Doctor: OK OK yeah so yeah we'll double check to make sure that um you either do or don't have a fever. Um have you experienced any chills or night sweats over the past few days?
Patient: Uh, no.
Doctor: No, OK. OK, how about um any weight loss?
Patient: No, like I don't weigh myself regularly, but I don't think so.
Doctor: OK, um any changes to your hair or uh nails or skin, like rashes?
Patient: Uh no.
Doctor: No, OK. How about um chest pain?
Patient: Uh, no.
Doctor: No chest pain, OK. Um swelling in your limbs?
Patient: Uh, no.
Doctor: No, do you ever feel like your heart's racing?
Patient: Uh, no.
Doctor: No, OK. Um how about um, how about any dizziness or or fainting spells?
Patient: Um, no, like I've been just tired.
Doctor: Just tired, OK.
Patient: Yeah I don't, I don't, I haven't fainted or anything.
Doctor: OK, any headaches?
Patient: No.
Doctor: No, OK. Uh how about confusion or memory loss?
Patient: Um, no, I don't think so.
Doctor: OK, um any changes to your bowel habits?
Patient: Um, no.
Doctor: No, OK. So no constipation or diarrhea or blood in your stool?
Patient: Yeah, exactly.
Doctor: OK, any changes to your urine?
Patient: No.
Doctor: OK. Any nausea or vomiting?
Patient: No.
Doctor: No, OK. And um no abdominal aches?
Patient: No.
Doctor: No, OK. Um are you otherwise healthy?
Patient: Um like I have um, I have uh Like some um Like digestive problems generally, like I haven't had any changes to that, but they think it might be like Crohn's or something. Um but other than that, no.
Doctor: Um you said you had digestive problems. Did you say it might be Crohn's?
Patient: Yeah, like I, I've been seeing my family doctor and they they said they thought it might be, um but we don't really know, just like in general, I guess they've been calling it IBS.
Doctor: Oh, I see, OK. Um, OK.
Patient: I wish I knew exactly, but they just said, yeah, they don't really know.
Doctor: OK.
Patient: But there haven't been any changes right now.
Doctor: Oh yeah, I see, OK. Um have you ever had any hospitalizations or surgeries?
Patient: No.
Doctor: No, OK. Um are you on any medications?
Patient: No.
Doctor: OK, and how about um any allergies?
Patient: Um, just uh pineapple, like not any medications or anything.
Doctor: Pineapple, OK. Um are you up to date with all your immunizations?
Patient: Uh yeah yeah.
Doctor: OK. Um any family history of lung conditions or heart conditions?
Patient: Um, like my my uncle had a heart attack.
Doctor: OK.
Patient: I don't, like, not my parents.
Doctor: OK, I see. Um any cancers in the family?
Patient: Uh, no.
Doctor: OK. Um and do you smoke?
Patient: No.
Doctor: No, OK. How about marijuana?
Patient: No.</x:t>
  </x:si>
  <x:si>
    <x:t xml:space="preserve">V145</x:t>
  </x:si>
  <x:si>
    <x:t xml:space="preserve">[...earlier consultation omitted...]
Doctor: OK.
Patient: Yeah, comes and goes.
Doctor: His eczema comes and goes?
Patient: Hmm.
Doctor: OK, um is he on any medications?
Patient: No.</x:t>
  </x:si>
  <x:si>
    <x:t xml:space="preserve">No? Even for his eczema?</x:t>
  </x:si>
  <x:si>
    <x:t xml:space="preserve">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x:t>
  </x:si>
  <x:si>
    <x:t xml:space="preserve">V146</x:t>
  </x:si>
  <x:si>
    <x:t xml:space="preserve">[...earlier consultation omitted...]
Doctor: OK, any changes to the breath sounds at all like any noisy breathing?
Patient: No. Well, I guess if when I'm really having trouble breathing, yeah.
Doctor: OK. Has anything like this ever happened to you before?
Patient: No.
Doctor: No, OK. And have you had any night sweats?
Patient: No.</x:t>
  </x:si>
  <x:si>
    <x:t xml:space="preserve">OK. And have you had any recent travel?</x:t>
  </x:si>
  <x:si>
    <x:t xml:space="preserve">Doctor: What brought you in today?
Patient: Sure, I'm I'm just having a lot of chest pain and and so I thought I should get it checked out.
Doctor: OK, before we start, could you remind me of your gender and age?
Patient: Sure 39, I'm a male.
Doctor: OK, and so when did this chest pain start?
Patient: It started last night, but it's becoming sharper.
Doctor: OK, and where is this pain located?
Patient: It's located on the left side of my chest.
Doctor: OK, and, so how long has it been going on for then if it started last night?
Patient: So I guess it would be a couple of hours now, maybe like 8.
Doctor: OK. Has it been constant throughout that time, or uh, or changing?
Patient: I would say it's been pretty constant, yeah.
Doctor: OK, and how would you describe the pain? People will use words sometimes like sharp, burning, achy.
Patient: I'd say it's pretty sharp, yeah.
Doctor: Sharp OK. Uh, anything that you have done tried since last night that's made the pain better?
Patient: Um not laying down helps.
Doctor: OK, so do you find laying down makes the pain worse?
Patient: Yes, definitely.
Doctor: OK, do you find that the pain is radiating anywhere?
Patient: No.
Doctor: OK, and is there anything else that makes the pain worse besides laying down?
Patient: Not that I've noticed, no.
Doctor: OK, so not like taking a deep breath or anything like that?
Patient: Maybe taking a deep breath. Yeah.
Doctor: OK. And when the pain started, could you tell me uh, could you think of anything that you were doing at the time?
Patient: I mean, I was moving some furniture around, but, that I've done that before.
Doctor: OK, so you didn't feel like you hurt yourself when you were doing that?
Patient: No.
Doctor: OK, and in regards to how severe the pain is on a scale of 1 to 10, 10 being the worst pain you've ever felt, how severe would you say the pain is?
Patient: I'd say it's like a seven or eight. It's pretty bad.
Doctor: OK, and with the pain, do you have any other associated symptoms?
Patient: I feel a little lightheaded and I'm having some trouble breathing.
Doctor: OK. Have you had any loss of consciousness?
Patient: No.
Doctor: OK. Uh, have you been experiencing any like racing of the heart?
Patient: Um, a little bit, yeah.
Doctor: OK. And have you been sweaty at all?
Patient: Just from the from having issues breathing.
Doctor: OK, have you been having issues breathing since the pain started?
Patient: Yes.
Doctor: OK. Um recently have you had any periods of time where you like have been immobilized or or, you haven't been like able to move around a lot?
Patient: No no.
Doctor: OK. And have you been feeling sick at all? Any infectious symptoms?
Patient: No.
Doctor: OK, have you had any nausea or vomiting?
Patient: No.
Doctor: Any fevers or chills?
Patient: No.
Doctor: OK, how about any abdominal pain?
Patient: No.
Doctor: Any urinary problems?
Patient: No.
Doctor: Or bowel problems?
Patient: No.
Doctor: OK, have you had a cough?
Patient: No.
Doctor: OK. You haven't brought up any blood?
Patient: No.
Doctor: OK, have you had a wheeze with your difficulty breathing?
Patient: No, not that I've heard.
Doctor: OK, any changes to the breath sounds at all like any noisy breathing?
Patient: No. Well, I guess if when I'm really having trouble breathing, yeah.
Doctor: OK. Has anything like this ever happened to you before?
Patient: No.
Doctor: No, OK. And have you had any night sweats?
Patient: No.</x:t>
  </x:si>
  <x:si>
    <x:t xml:space="preserve">V147</x:t>
  </x:si>
  <x:si>
    <x:t xml:space="preserve">OK, thank you for answering all those questions. Now, let's talk about your medical history. Do you have any ongoing medical conditions?</x:t>
  </x:si>
  <x:si>
    <x:t xml:space="preserve">V148</x:t>
  </x:si>
  <x:si>
    <x:t xml:space="preserve">OK, and have you been sick recently at all with fevers, chills, any cold or viral symptoms?</x:t>
  </x:si>
  <x:si>
    <x:t xml:space="preserve">V149</x:t>
  </x:si>
  <x:si>
    <x:t xml:space="preserve">[...earlier consultation omitted...]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x:t>
  </x:si>
  <x:si>
    <x:t xml:space="preserve">I don't, do much anyway, because my CPD, you know, just makes things a little bit difficult, uh, yeah, I use my puffers.</x:t>
  </x:si>
  <x:si>
    <x:t xml:space="preserve">OK, and are you using your puffers as prescribed?</x:t>
  </x:si>
  <x:si>
    <x:t xml:space="preserve">Doctor: What took, brought you in today?
Patient: Yeah, I'm just feeling, so, I do have COPD, but I just feel so much worse. I do have shortness of breath, but I think it's just been worse over the past three days. I'm having more difficulty climbing stairs, or even just going to the bathroom.
Doctor: OK, and you said this started?
Patient: Three days ago, three or four days ago.
Doctor: And since that time has the shortness of breath been getting worse or staying the same?
Patient: Yeah, so initially it was just, it was just climbing stairs, you know, but then after that, I mean, this morning, I was just short of breath going to the bathroom.
Doctor: OK, and have you had, uh, shortness of breath on exertion like this before?
Patient: Uhm, you know, sometimes.
Doctor: OK.
Patient: I don't, do much anyway, because my CPD, you know, just makes things a little bit difficult, uh, yeah, I use my puffers.</x:t>
  </x:si>
  <x:si>
    <x:t xml:space="preserve">V150</x:t>
  </x:si>
  <x:si>
    <x:t xml:space="preserve">[...earlier consultation omitted...]
Doctor: Okay, um, and um, have you noticed any skin changes or, or rashes?
Patient: No.
Doctor: Alright, and any changes to bowel habits like diarrhea?
Patient: Uh no, no changes there.
Doctor: Okay. Then any changes to um, like urinary habits as well?
Patient: Uh no, no changes there.</x:t>
  </x:si>
  <x:si>
    <x:t xml:space="preserve">Uh no, no changes there.</x:t>
  </x:si>
  <x:si>
    <x:t xml:space="preserve">Okay, so just to recap, she's a one-year-old girl with a three-to-four-day history of fever, cough, and runny nose, which has now resolved, but she's developed wheezing today. The cough is harsh, constant, initially productive of clear phlegm but now dry. She's fussy but eating and drinking well, maintaining hydration with five wet diapers a day. No chest pain, fainting, chills, night sweats, eye symptoms, ear symptoms, skin changes, diarrhea, or urinary changes. Is that correct?</x:t>
  </x:si>
  <x:si>
    <x:t xml:space="preserve">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x:t>
  </x:si>
  <x:si>
    <x:t xml:space="preserve">Progress tracker</x:t>
  </x:si>
  <x:si>
    <x:t xml:space="preserve">Updates automatically as you code. Nothing here needs to be edited.</x:t>
  </x:si>
  <x:si>
    <x:t xml:space="preserve">Total items to code</x:t>
  </x:si>
  <x:si>
    <x:t xml:space="preserve">Q1 completed</x:t>
  </x:si>
  <x:si>
    <x:t xml:space="preserve">Q2 completed</x:t>
  </x:si>
  <x:si>
    <x:t xml:space="preserve">Q3 completed</x:t>
  </x:si>
  <x:si>
    <x:t xml:space="preserve">Items fully completed</x:t>
  </x:si>
  <x:si>
    <x:t xml:space="preserve">Items remaining</x:t>
  </x:si>
  <x:si>
    <x:t xml:space="preserve">Percent complete</x:t>
  </x:si>
  <x:si>
    <x:t xml:space="preserve">Flagged uncertain so far</x:t>
  </x:si>
</x:sst>
</file>

<file path=xl/styles.xml><?xml version="1.0" encoding="utf-8"?>
<x:styleSheet xmlns:x="http://schemas.openxmlformats.org/spreadsheetml/2006/main">
  <x:numFmts count="1">
    <x:numFmt numFmtId="164" formatCode="0.0%"/>
  </x:numFmts>
  <x:fonts count="13">
    <x:font>
      <x:sz val="11"/>
      <x:color theme="1"/>
      <x:name val="Calibri"/>
    </x:font>
    <x:font>
      <x:sz val="10"/>
      <x:name val="Arial"/>
    </x:font>
    <x:font>
      <x:b/>
      <x:sz val="16"/>
      <x:color rgb="FF1F3864"/>
      <x:name val="Arial"/>
    </x:font>
    <x:font>
      <x:i/>
      <x:sz val="11"/>
      <x:name val="Arial"/>
    </x:font>
    <x:font>
      <x:b/>
      <x:sz val="12"/>
      <x:color rgb="FF1F3864"/>
      <x:name val="Arial"/>
    </x:font>
    <x:font>
      <x:b/>
      <x:sz val="11"/>
      <x:name val="Arial"/>
    </x:font>
    <x:font>
      <x:sz val="11"/>
      <x:name val="Arial"/>
    </x:font>
    <x:font>
      <x:b/>
      <x:sz val="14"/>
      <x:color rgb="FF1F3864"/>
      <x:name val="Arial"/>
    </x:font>
    <x:font>
      <x:b/>
      <x:sz val="11"/>
      <x:color rgb="FFFFFFFF"/>
      <x:name val="Arial"/>
    </x:font>
    <x:font>
      <x:i/>
      <x:sz val="10"/>
      <x:name val="Arial"/>
    </x:font>
    <x:font>
      <x:b/>
      <x:sz val="10"/>
      <x:color rgb="FFFFFFFF"/>
      <x:name val="Arial"/>
    </x:font>
    <x:font>
      <x:sz val="10"/>
      <x:name val="Arial"/>
    </x:font>
    <x:font>
      <x:b/>
      <x:sz val="10"/>
      <x:name val="Arial"/>
    </x:font>
  </x:fonts>
  <x:fills count="6">
    <x:fill>
      <x:patternFill patternType="none"/>
    </x:fill>
    <x:fill>
      <x:patternFill patternType="gray125"/>
    </x:fill>
    <x:fill>
      <x:patternFill patternType="solid">
        <x:fgColor rgb="FFD9E2F3"/>
      </x:patternFill>
    </x:fill>
    <x:fill>
      <x:patternFill patternType="solid">
        <x:fgColor rgb="FF1F3864"/>
      </x:patternFill>
    </x:fill>
    <x:fill>
      <x:patternFill patternType="solid">
        <x:fgColor rgb="FFEDEDED"/>
      </x:patternFill>
    </x:fill>
    <x:fill>
      <x:patternFill patternType="solid">
        <x:fgColor rgb="FFFFF2CC"/>
      </x:patternFill>
    </x:fill>
  </x:fills>
  <x:borders count="2">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23">
    <x:xf numFmtId="0" fontId="0" fillId="0" borderId="0" xfId="0"/>
    <x:xf numFmtId="0" fontId="2" fillId="0" borderId="0" xfId="0" applyFont="1"/>
    <x:xf numFmtId="0" fontId="3" fillId="0" borderId="0" xfId="0" applyFont="1"/>
    <x:xf numFmtId="0" fontId="4" fillId="2" borderId="0" xfId="0" applyFont="1" applyFill="1"/>
    <x:xf numFmtId="0" fontId="0" fillId="2" borderId="0" xfId="0" applyFill="1"/>
    <x:xf numFmtId="0" fontId="5" fillId="0" borderId="0" xfId="0" applyFont="1"/>
    <x:xf numFmtId="0" fontId="6" fillId="0" borderId="0" xfId="0" applyFont="1" applyAlignment="1">
      <x:alignment vertical="top" wrapText="1"/>
    </x:xf>
    <x:xf numFmtId="0" fontId="7" fillId="0" borderId="0" xfId="0" applyFont="1"/>
    <x:xf numFmtId="0" fontId="8" fillId="3" borderId="1" xfId="0" applyFont="1" applyFill="1" applyBorder="1"/>
    <x:xf numFmtId="0" fontId="5" fillId="0" borderId="1" xfId="0" applyFont="1" applyBorder="1"/>
    <x:xf numFmtId="0" fontId="6" fillId="0" borderId="1" xfId="0" applyFont="1" applyBorder="1"/>
    <x:xf numFmtId="0" fontId="6" fillId="0" borderId="1" xfId="0" applyFont="1" applyBorder="1" applyAlignment="1">
      <x:alignment vertical="top" wrapText="1"/>
    </x:xf>
    <x:xf numFmtId="0" fontId="4" fillId="0" borderId="0" xfId="0" applyFont="1"/>
    <x:xf numFmtId="0" fontId="9" fillId="0" borderId="0" xfId="0" applyFont="1"/>
    <x:xf numFmtId="0" fontId="10" fillId="3" borderId="1" xfId="0" applyFont="1" applyFill="1" applyBorder="1" applyAlignment="1">
      <x:alignment horizontal="center" vertical="center" wrapText="1"/>
    </x:xf>
    <x:xf numFmtId="0" fontId="9" fillId="4" borderId="1" xfId="0" applyFont="1" applyFill="1" applyBorder="1" applyAlignment="1">
      <x:alignment vertical="top" wrapText="1"/>
    </x:xf>
    <x:xf numFmtId="0" fontId="11" fillId="0" borderId="1" xfId="0" applyFont="1" applyBorder="1" applyAlignment="1">
      <x:alignment horizontal="center" vertical="top"/>
    </x:xf>
    <x:xf numFmtId="0" fontId="11" fillId="0" borderId="1" xfId="0" applyFont="1" applyBorder="1" applyAlignment="1">
      <x:alignment vertical="top" wrapText="1"/>
    </x:xf>
    <x:xf numFmtId="0" fontId="12" fillId="0" borderId="1" xfId="0" applyFont="1" applyBorder="1" applyAlignment="1">
      <x:alignment vertical="top" wrapText="1"/>
    </x:xf>
    <x:xf numFmtId="0" fontId="11" fillId="5" borderId="1" xfId="0" applyFont="1" applyFill="1" applyBorder="1" applyAlignment="1">
      <x:alignment vertical="top" wrapText="1"/>
    </x:xf>
    <x:xf numFmtId="0" fontId="6" fillId="0" borderId="0" xfId="0" applyFont="1"/>
    <x:xf numFmtId="164" fontId="6" fillId="0" borderId="1" xfId="0" applyNumberFormat="1" applyFont="1" applyBorder="1"/>
    <x:xf numFmtId="0" fontId="1" fillId="0" borderId="1" xfId="0" applyFont="1" applyBorder="1" applyAlignment="1">
      <x:alignment vertical="top" wrapText="1"/>
    </x:xf>
  </x:cellXfs>
  <x:cellStyles count="1">
    <x:cellStyle name="Normal" xfId="0"/>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EDEDED"/>
      <x:rgbColor rgb="FF660066"/>
      <x:rgbColor rgb="FFFF8080"/>
      <x:rgbColor rgb="FF0066CC"/>
      <x:rgbColor rgb="FFD9E2F3"/>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1F3864"/>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e2210b2bc8c40e1" /><Relationship Type="http://schemas.openxmlformats.org/officeDocument/2006/relationships/theme" Target="/xl/theme/theme1.xml" Id="R3e24f634b70449ba" /><Relationship Type="http://schemas.openxmlformats.org/officeDocument/2006/relationships/sharedStrings" Target="/xl/sharedStrings.xml" Id="R0030081a00554317" /><Relationship Type="http://schemas.openxmlformats.org/officeDocument/2006/relationships/worksheet" Target="/xl/worksheets/sheet1.xml" Id="Re6b1739556fa452e" /><Relationship Type="http://schemas.openxmlformats.org/officeDocument/2006/relationships/worksheet" Target="/xl/worksheets/sheet2.xml" Id="R4ccedd7ebf9247a0" /><Relationship Type="http://schemas.openxmlformats.org/officeDocument/2006/relationships/worksheet" Target="/xl/worksheets/sheet3.xml" Id="Ra603b99b961b4be5" /><Relationship Type="http://schemas.openxmlformats.org/officeDocument/2006/relationships/worksheet" Target="/xl/worksheets/sheet4.xml" Id="R50d7443593784b4a"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6640625" defaultRowHeight="15"/>
  <x:cols>
    <x:col min="1" max="1" width="4" customWidth="1"/>
    <x:col min="2" max="2" width="26" customWidth="1"/>
    <x:col min="3" max="3" width="105" customWidth="1"/>
  </x:cols>
  <x:sheetData>
    <x:row r="2" ht="20">
      <x:c r="B2" s="1" t="s">
        <x:v>0</x:v>
      </x:c>
    </x:row>
    <x:row r="3">
      <x:c r="B3" s="2" t="s">
        <x:v>1</x:v>
      </x:c>
    </x:row>
    <x:row r="5" ht="16">
      <x:c r="B5" s="3" t="s">
        <x:v>2</x:v>
      </x:c>
      <x:c r="C5" s="4"/>
    </x:row>
    <x:row r="6" ht="60">
      <x:c r="B6" s="5" t="s">
        <x:v>3</x:v>
      </x:c>
      <x:c r="C6" s="6" t="s">
        <x:v>4</x:v>
      </x:c>
    </x:row>
    <x:row r="7" ht="45">
      <x:c r="B7" s="5" t="s">
        <x:v>5</x:v>
      </x:c>
      <x:c r="C7" s="6" t="s">
        <x:v>6</x:v>
      </x:c>
    </x:row>
    <x:row r="8" ht="45">
      <x:c r="B8" s="5" t="s">
        <x:v>7</x:v>
      </x:c>
      <x:c r="C8" s="6" t="s">
        <x:v>8</x:v>
      </x:c>
    </x:row>
    <x:row r="9" ht="30">
      <x:c r="B9" s="5" t="s">
        <x:v>9</x:v>
      </x:c>
      <x:c r="C9" s="6" t="s">
        <x:v>10</x:v>
      </x:c>
    </x:row>
    <x:row r="11" ht="16">
      <x:c r="B11" s="3" t="s">
        <x:v>11</x:v>
      </x:c>
      <x:c r="C11" s="4"/>
    </x:row>
    <x:row r="12" ht="30">
      <x:c r="B12" s="5" t="s">
        <x:v>12</x:v>
      </x:c>
      <x:c r="C12" s="6" t="s">
        <x:v>13</x:v>
      </x:c>
    </x:row>
    <x:row r="13" ht="30">
      <x:c r="B13" s="5" t="s">
        <x:v>14</x:v>
      </x:c>
      <x:c r="C13" s="6" t="s">
        <x:v>15</x:v>
      </x:c>
    </x:row>
    <x:row r="14" ht="30">
      <x:c r="B14" s="5" t="s">
        <x:v>16</x:v>
      </x:c>
      <x:c r="C14" s="6" t="s">
        <x:v>17</x:v>
      </x:c>
    </x:row>
    <x:row r="16" ht="16">
      <x:c r="B16" s="3" t="s">
        <x:v>18</x:v>
      </x:c>
      <x:c r="C16" s="4"/>
    </x:row>
    <x:row r="17" ht="45">
      <x:c r="B17" s="5" t="s">
        <x:v>19</x:v>
      </x:c>
      <x:c r="C17" s="6" t="s">
        <x:v>20</x:v>
      </x:c>
    </x:row>
    <x:row r="18" ht="30">
      <x:c r="B18" s="5" t="s">
        <x:v>21</x:v>
      </x:c>
      <x:c r="C18" s="6" t="s">
        <x:v>22</x:v>
      </x:c>
    </x:row>
    <x:row r="19" ht="30">
      <x:c r="B19" s="5" t="s">
        <x:v>23</x:v>
      </x:c>
      <x:c r="C19" s="6" t="s">
        <x:v>24</x:v>
      </x:c>
    </x:row>
    <x:row r="20" ht="30">
      <x:c r="B20" s="5" t="s">
        <x:v>25</x:v>
      </x:c>
      <x:c r="C20" s="6" t="s">
        <x:v>26</x:v>
      </x:c>
    </x:row>
    <x:row r="21">
      <x:c r="B21" s="5" t="s">
        <x:v>27</x:v>
      </x:c>
      <x:c r="C21" s="6" t="s">
        <x:v>28</x:v>
      </x:c>
    </x:row>
    <x:row r="23" ht="16">
      <x:c r="B23" s="3" t="s">
        <x:v>29</x:v>
      </x:c>
      <x:c r="C23" s="4"/>
    </x:row>
    <x:row r="24" ht="30">
      <x:c r="B24" s="5" t="s">
        <x:v>30</x:v>
      </x:c>
      <x:c r="C24" s="6" t="s">
        <x:v>31</x:v>
      </x:c>
    </x:row>
    <x:row r="25" ht="30">
      <x:c r="B25" s="5" t="s">
        <x:v>32</x:v>
      </x:c>
      <x:c r="C25" s="6" t="s">
        <x:v>33</x:v>
      </x:c>
    </x:row>
    <x:row r="26" ht="30">
      <x:c r="B26" s="5" t="s">
        <x:v>34</x:v>
      </x:c>
      <x:c r="C26" s="6" t="s">
        <x:v>35</x:v>
      </x:c>
    </x:row>
    <x:row r="27" ht="30">
      <x:c r="B27" s="5" t="s">
        <x:v>36</x:v>
      </x:c>
      <x:c r="C27" s="6" t="s">
        <x:v>37</x:v>
      </x:c>
    </x:row>
    <x:row r="28">
      <x:c r="B28" s="5" t="s">
        <x:v>38</x:v>
      </x:c>
      <x:c r="C28" s="6" t="s">
        <x:v>39</x:v>
      </x:c>
    </x:row>
    <x:row r="29">
      <x:c r="B29" s="5" t="s">
        <x:v>40</x:v>
      </x:c>
      <x:c r="C29" s="6" t="s">
        <x:v>41</x:v>
      </x:c>
    </x:row>
    <x:row r="30">
      <x:c r="B30" s="5" t="s">
        <x:v>42</x:v>
      </x:c>
      <x:c r="C30" s="6" t="s">
        <x:v>43</x:v>
      </x:c>
    </x:row>
    <x:row r="31" ht="60">
      <x:c r="B31" s="5" t="s">
        <x:v>44</x:v>
      </x:c>
      <x:c r="C31" s="6" t="s">
        <x:v>45</x:v>
      </x:c>
    </x:row>
    <x:row r="33" ht="16">
      <x:c r="B33" s="3" t="s">
        <x:v>46</x:v>
      </x:c>
      <x:c r="C33" s="4"/>
    </x:row>
    <x:row r="34" ht="45">
      <x:c r="B34" s="5" t="s">
        <x:v>47</x:v>
      </x:c>
      <x:c r="C34" s="6" t="s">
        <x:v>48</x:v>
      </x:c>
    </x:row>
    <x:row r="36" ht="16">
      <x:c r="B36" s="3" t="s">
        <x:v>49</x:v>
      </x:c>
      <x:c r="C36" s="4"/>
    </x:row>
    <x:row r="37">
      <x:c r="B37" s="5" t="s">
        <x:v>50</x:v>
      </x:c>
      <x:c r="C37" s="5" t="s">
        <x:v>51</x:v>
      </x:c>
    </x:row>
    <x:row r="38" ht="30">
      <x:c r="B38" s="5" t="s">
        <x:v>52</x:v>
      </x:c>
      <x:c r="C38" s="6" t="s">
        <x:v>53</x:v>
      </x:c>
    </x:row>
    <x:row r="39" ht="30">
      <x:c r="B39" s="5" t="s">
        <x:v>54</x:v>
      </x:c>
      <x:c r="C39" s="6" t="s">
        <x:v>55</x:v>
      </x:c>
    </x:row>
    <x:row r="40" ht="30">
      <x:c r="B40" s="5" t="s">
        <x:v>56</x:v>
      </x:c>
      <x:c r="C40" s="6" t="s">
        <x:v>57</x:v>
      </x:c>
    </x:row>
    <x:row r="41" ht="30">
      <x:c r="B41" s="5" t="s">
        <x:v>58</x:v>
      </x:c>
      <x:c r="C41" s="6" t="s">
        <x:v>59</x:v>
      </x:c>
    </x:row>
    <x:row r="42" ht="30">
      <x:c r="B42" s="5" t="s">
        <x:v>60</x:v>
      </x:c>
      <x:c r="C42" s="6" t="s">
        <x:v>61</x:v>
      </x:c>
    </x:row>
    <x:row r="43" ht="30">
      <x:c r="B43" s="5" t="s">
        <x:v>62</x:v>
      </x:c>
      <x:c r="C43" s="6" t="s">
        <x:v>63</x:v>
      </x:c>
    </x:row>
    <x:row r="45" ht="16">
      <x:c r="B45" s="3" t="s">
        <x:v>64</x:v>
      </x:c>
      <x:c r="C45" s="4"/>
    </x:row>
    <x:row r="46" ht="30">
      <x:c r="B46" s="5"/>
      <x:c r="C46" s="6" t="s">
        <x:v>65</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6640625" defaultRowHeight="15"/>
  <x:cols>
    <x:col min="1" max="1" width="3" customWidth="1"/>
    <x:col min="2" max="2" width="14" customWidth="1"/>
    <x:col min="3" max="3" width="30" customWidth="1"/>
    <x:col min="4" max="4" width="78" customWidth="1"/>
  </x:cols>
  <x:sheetData>
    <x:row r="2" ht="18">
      <x:c r="B2" s="7" t="s">
        <x:v>66</x:v>
      </x:c>
    </x:row>
    <x:row r="4">
      <x:c r="B4" s="8" t="s">
        <x:v>67</x:v>
      </x:c>
      <x:c r="C4" s="8" t="s">
        <x:v>68</x:v>
      </x:c>
      <x:c r="D4" s="8" t="s">
        <x:v>69</x:v>
      </x:c>
    </x:row>
    <x:row r="5">
      <x:c r="B5" s="9" t="s">
        <x:v>70</x:v>
      </x:c>
      <x:c r="C5" s="10" t="s">
        <x:v>71</x:v>
      </x:c>
      <x:c r="D5" s="11" t="s">
        <x:v>72</x:v>
      </x:c>
    </x:row>
    <x:row r="6">
      <x:c r="B6" s="9" t="s">
        <x:v>73</x:v>
      </x:c>
      <x:c r="C6" s="10" t="s">
        <x:v>74</x:v>
      </x:c>
      <x:c r="D6" s="11" t="s">
        <x:v>75</x:v>
      </x:c>
    </x:row>
    <x:row r="7">
      <x:c r="B7" s="9" t="s">
        <x:v>76</x:v>
      </x:c>
      <x:c r="C7" s="10" t="s">
        <x:v>77</x:v>
      </x:c>
      <x:c r="D7" s="11" t="s">
        <x:v>78</x:v>
      </x:c>
    </x:row>
    <x:row r="8">
      <x:c r="B8" s="9" t="s">
        <x:v>79</x:v>
      </x:c>
      <x:c r="C8" s="10" t="s">
        <x:v>80</x:v>
      </x:c>
      <x:c r="D8" s="11" t="s">
        <x:v>81</x:v>
      </x:c>
    </x:row>
    <x:row r="9">
      <x:c r="B9" s="9" t="s">
        <x:v>82</x:v>
      </x:c>
      <x:c r="C9" s="10" t="s">
        <x:v>83</x:v>
      </x:c>
      <x:c r="D9" s="11" t="s">
        <x:v>84</x:v>
      </x:c>
    </x:row>
    <x:row r="10">
      <x:c r="B10" s="9" t="s">
        <x:v>85</x:v>
      </x:c>
      <x:c r="C10" s="10" t="s">
        <x:v>86</x:v>
      </x:c>
      <x:c r="D10" s="11" t="s">
        <x:v>87</x:v>
      </x:c>
    </x:row>
    <x:row r="11">
      <x:c r="B11" s="9" t="s">
        <x:v>88</x:v>
      </x:c>
      <x:c r="C11" s="10" t="s">
        <x:v>89</x:v>
      </x:c>
      <x:c r="D11" s="11" t="s">
        <x:v>90</x:v>
      </x:c>
    </x:row>
    <x:row r="12">
      <x:c r="B12" s="9" t="s">
        <x:v>91</x:v>
      </x:c>
      <x:c r="C12" s="10" t="s">
        <x:v>92</x:v>
      </x:c>
      <x:c r="D12" s="11" t="s">
        <x:v>93</x:v>
      </x:c>
    </x:row>
    <x:row r="13">
      <x:c r="B13" s="9" t="s">
        <x:v>94</x:v>
      </x:c>
      <x:c r="C13" s="10" t="s">
        <x:v>95</x:v>
      </x:c>
      <x:c r="D13" s="11" t="s">
        <x:v>96</x:v>
      </x:c>
    </x:row>
    <x:row r="14">
      <x:c r="B14" s="9" t="s">
        <x:v>97</x:v>
      </x:c>
      <x:c r="C14" s="10" t="s">
        <x:v>98</x:v>
      </x:c>
      <x:c r="D14" s="11" t="s">
        <x:v>99</x:v>
      </x:c>
    </x:row>
    <x:row r="15">
      <x:c r="B15" s="9" t="s">
        <x:v>100</x:v>
      </x:c>
      <x:c r="C15" s="10" t="s">
        <x:v>101</x:v>
      </x:c>
      <x:c r="D15" s="11" t="s">
        <x:v>102</x:v>
      </x:c>
    </x:row>
  </x:sheetData>
  <x:pageMargins left="0.7" right="0.7" top="0.75" bottom="0.75" header="0.3" footer="0.3"/>
</x:worksheet>
</file>

<file path=xl/worksheets/sheet3.xml><?xml version="1.0" encoding="utf-8"?>
<x:worksheet xmlns:x="http://schemas.openxmlformats.org/spreadsheetml/2006/main">
  <x:sheetFormatPr baseColWidth="10" defaultColWidth="8.6640625" defaultRowHeight="15"/>
  <x:cols>
    <x:col min="1" max="1" width="10" customWidth="1"/>
    <x:col min="2" max="2" width="14" customWidth="1"/>
    <x:col min="3" max="3" width="58" customWidth="1"/>
    <x:col min="4" max="4" width="34" customWidth="1"/>
    <x:col min="5" max="5" width="50" customWidth="1"/>
    <x:col min="6" max="6" width="16" customWidth="1"/>
    <x:col min="7" max="7" width="15" customWidth="1"/>
    <x:col min="8" max="8" width="12" customWidth="1"/>
    <x:col min="9" max="9" width="30" customWidth="1"/>
    <x:col min="10" max="10" width="60" hidden="1" customWidth="1"/>
  </x:cols>
  <x:sheetData>
    <x:row r="1" ht="16">
      <x:c r="A1" s="12" t="s">
        <x:v>103</x:v>
      </x:c>
    </x:row>
    <x:row r="2">
      <x:c r="A2" s="13" t="s">
        <x:v>104</x:v>
      </x:c>
    </x:row>
    <x:row r="3" ht="45.75" customHeight="1">
      <x:c r="A3" s="14" t="s">
        <x:v>105</x:v>
      </x:c>
      <x:c r="B3" s="14" t="s">
        <x:v>106</x:v>
      </x:c>
      <x:c r="C3" s="14" t="s">
        <x:v>107</x:v>
      </x:c>
      <x:c r="D3" s="14" t="s">
        <x:v>108</x:v>
      </x:c>
      <x:c r="E3" s="14" t="s">
        <x:v>109</x:v>
      </x:c>
      <x:c r="F3" s="14" t="s">
        <x:v>110</x:v>
      </x:c>
      <x:c r="G3" s="14" t="s">
        <x:v>111</x:v>
      </x:c>
      <x:c r="H3" s="14" t="s">
        <x:v>112</x:v>
      </x:c>
      <x:c r="I3" s="14" t="s">
        <x:v>113</x:v>
      </x:c>
      <x:c r="J3" s="14" t="s">
        <x:v>114</x:v>
      </x:c>
    </x:row>
    <x:row r="4" ht="45.75" customHeight="1">
      <x:c r="A4" s="15" t="s">
        <x:v>115</x:v>
      </x:c>
      <x:c r="B4" s="15" t="s">
        <x:v>116</x:v>
      </x:c>
      <x:c r="C4" s="15" t="s">
        <x:v>117</x:v>
      </x:c>
      <x:c r="D4" s="15" t="s">
        <x:v>118</x:v>
      </x:c>
      <x:c r="E4" s="15" t="s">
        <x:v>119</x:v>
      </x:c>
      <x:c r="F4" s="15" t="s">
        <x:v>120</x:v>
      </x:c>
      <x:c r="G4" s="15" t="s">
        <x:v>79</x:v>
      </x:c>
      <x:c r="H4" s="15" t="s">
        <x:v>121</x:v>
      </x:c>
      <x:c r="I4" s="15" t="s">
        <x:v>122</x:v>
      </x:c>
      <x:c r="J4" s="15"/>
    </x:row>
    <x:row r="5" ht="91.5" customHeight="1">
      <x:c r="A5" s="16" t="s">
        <x:v>123</x:v>
      </x:c>
      <x:c r="B5" s="17" t="s">
        <x:v>116</x:v>
      </x:c>
      <x:c r="C5" s="17" t="s">
        <x:v>124</x:v>
      </x:c>
      <x:c r="D5" s="17" t="s">
        <x:v>125</x:v>
      </x:c>
      <x:c r="E5" s="18" t="s">
        <x:v>126</x:v>
      </x:c>
      <x:c r="F5" s="19" t="str">
        <x:v>1</x:v>
      </x:c>
      <x:c r="G5" s="19" t="str">
        <x:v>HIST</x:v>
      </x:c>
      <x:c r="H5" s="19" t="str">
        <x:v>N</x:v>
      </x:c>
      <x:c r="I5" s="19" t="str"/>
      <x:c r="J5" s="17" t="s">
        <x:v>127</x:v>
      </x:c>
    </x:row>
    <x:row r="6" ht="91.5" customHeight="1">
      <x:c r="A6" s="16" t="s">
        <x:v>128</x:v>
      </x:c>
      <x:c r="B6" s="17" t="s">
        <x:v>116</x:v>
      </x:c>
      <x:c r="C6" s="22" t="s">
        <x:v>129</x:v>
      </x:c>
      <x:c r="D6" s="17" t="s">
        <x:v>130</x:v>
      </x:c>
      <x:c r="E6" s="18" t="s">
        <x:v>131</x:v>
      </x:c>
      <x:c r="F6" s="19" t="str">
        <x:v>1</x:v>
      </x:c>
      <x:c r="G6" s="19" t="str">
        <x:v>HIST</x:v>
      </x:c>
      <x:c r="H6" s="19" t="str">
        <x:v>N</x:v>
      </x:c>
      <x:c r="I6" s="19" t="str"/>
      <x:c r="J6" s="17" t="s">
        <x:v>132</x:v>
      </x:c>
    </x:row>
    <x:row r="7" ht="91.5" customHeight="1">
      <x:c r="A7" s="16" t="s">
        <x:v>133</x:v>
      </x:c>
      <x:c r="B7" s="17" t="s">
        <x:v>134</x:v>
      </x:c>
      <x:c r="C7" s="17" t="s">
        <x:v>135</x:v>
      </x:c>
      <x:c r="D7" s="17" t="s">
        <x:v>136</x:v>
      </x:c>
      <x:c r="E7" s="18" t="s">
        <x:v>137</x:v>
      </x:c>
      <x:c r="F7" s="19" t="str">
        <x:v>2</x:v>
      </x:c>
      <x:c r="G7" s="19" t="str">
        <x:v>HIST</x:v>
      </x:c>
      <x:c r="H7" s="19" t="str">
        <x:v>N</x:v>
      </x:c>
      <x:c r="I7" s="19" t="str">
        <x:v>Cigarette smoking and other tobacco use are distinct requests.</x:v>
      </x:c>
      <x:c r="J7" s="17" t="s">
        <x:v>138</x:v>
      </x:c>
    </x:row>
    <x:row r="8" ht="91.5" customHeight="1">
      <x:c r="A8" s="16" t="s">
        <x:v>139</x:v>
      </x:c>
      <x:c r="B8" s="17" t="s">
        <x:v>116</x:v>
      </x:c>
      <x:c r="C8" s="17" t="s">
        <x:v>140</x:v>
      </x:c>
      <x:c r="D8" s="17" t="s">
        <x:v>141</x:v>
      </x:c>
      <x:c r="E8" s="18" t="s">
        <x:v>142</x:v>
      </x:c>
      <x:c r="F8" s="19" t="str">
        <x:v>1</x:v>
      </x:c>
      <x:c r="G8" s="19" t="str">
        <x:v>HIST</x:v>
      </x:c>
      <x:c r="H8" s="19" t="str">
        <x:v>N</x:v>
      </x:c>
      <x:c r="I8" s="19" t="str"/>
      <x:c r="J8" s="17" t="s">
        <x:v>143</x:v>
      </x:c>
    </x:row>
    <x:row r="9" ht="91.5" customHeight="1">
      <x:c r="A9" s="16" t="s">
        <x:v>144</x:v>
      </x:c>
      <x:c r="B9" s="17" t="s">
        <x:v>116</x:v>
      </x:c>
      <x:c r="C9" s="17" t="s">
        <x:v>145</x:v>
      </x:c>
      <x:c r="D9" s="17" t="s">
        <x:v>146</x:v>
      </x:c>
      <x:c r="E9" s="18" t="s">
        <x:v>147</x:v>
      </x:c>
      <x:c r="F9" s="19" t="str">
        <x:v>1</x:v>
      </x:c>
      <x:c r="G9" s="19" t="str">
        <x:v>HIST</x:v>
      </x:c>
      <x:c r="H9" s="19" t="str">
        <x:v>N</x:v>
      </x:c>
      <x:c r="I9" s="19" t="str"/>
      <x:c r="J9" s="17" t="s">
        <x:v>148</x:v>
      </x:c>
    </x:row>
    <x:row r="10" ht="91.5" customHeight="1">
      <x:c r="A10" s="16" t="s">
        <x:v>149</x:v>
      </x:c>
      <x:c r="B10" s="17" t="s">
        <x:v>150</x:v>
      </x:c>
      <x:c r="C10" s="17" t="s">
        <x:v>151</x:v>
      </x:c>
      <x:c r="D10" s="17" t="s">
        <x:v>152</x:v>
      </x:c>
      <x:c r="E10" s="18" t="s">
        <x:v>153</x:v>
      </x:c>
      <x:c r="F10" s="19" t="str">
        <x:v>5+</x:v>
      </x:c>
      <x:c r="G10" s="19" t="str">
        <x:v>HIST</x:v>
      </x:c>
      <x:c r="H10" s="19" t="str">
        <x:v>N</x:v>
      </x:c>
      <x:c r="I10" s="19" t="str">
        <x:v>Asks morphology, colour, spread, itch and pain.</x:v>
      </x:c>
      <x:c r="J10" s="17" t="s">
        <x:v>151</x:v>
      </x:c>
    </x:row>
    <x:row r="11" ht="91.5" customHeight="1">
      <x:c r="A11" s="16" t="s">
        <x:v>154</x:v>
      </x:c>
      <x:c r="B11" s="17" t="s">
        <x:v>150</x:v>
      </x:c>
      <x:c r="C11" s="17" t="s">
        <x:v>155</x:v>
      </x:c>
      <x:c r="D11" s="17" t="s">
        <x:v>156</x:v>
      </x:c>
      <x:c r="E11" s="18" t="s">
        <x:v>157</x:v>
      </x:c>
      <x:c r="F11" s="19" t="str">
        <x:v>1</x:v>
      </x:c>
      <x:c r="G11" s="19" t="str">
        <x:v>HIST</x:v>
      </x:c>
      <x:c r="H11" s="19" t="str">
        <x:v>N</x:v>
      </x:c>
      <x:c r="I11" s="19" t="str"/>
      <x:c r="J11" s="17" t="s">
        <x:v>158</x:v>
      </x:c>
    </x:row>
    <x:row r="12" ht="91.5" customHeight="1">
      <x:c r="A12" s="16" t="s">
        <x:v>159</x:v>
      </x:c>
      <x:c r="B12" s="17" t="s">
        <x:v>116</x:v>
      </x:c>
      <x:c r="C12" s="17" t="s">
        <x:v>160</x:v>
      </x:c>
      <x:c r="D12" s="17" t="s">
        <x:v>161</x:v>
      </x:c>
      <x:c r="E12" s="18" t="s">
        <x:v>162</x:v>
      </x:c>
      <x:c r="F12" s="19" t="str">
        <x:v>1</x:v>
      </x:c>
      <x:c r="G12" s="19" t="str">
        <x:v>HIST</x:v>
      </x:c>
      <x:c r="H12" s="19" t="str">
        <x:v>N</x:v>
      </x:c>
      <x:c r="I12" s="19" t="str"/>
      <x:c r="J12" s="17" t="s">
        <x:v>163</x:v>
      </x:c>
    </x:row>
    <x:row r="13" ht="91.5" customHeight="1">
      <x:c r="A13" s="16" t="s">
        <x:v>164</x:v>
      </x:c>
      <x:c r="B13" s="17" t="s">
        <x:v>150</x:v>
      </x:c>
      <x:c r="C13" s="17" t="s">
        <x:v>165</x:v>
      </x:c>
      <x:c r="D13" s="17" t="s">
        <x:v>166</x:v>
      </x:c>
      <x:c r="E13" s="18" t="s">
        <x:v>167</x:v>
      </x:c>
      <x:c r="F13" s="19" t="str">
        <x:v>0</x:v>
      </x:c>
      <x:c r="G13" s="19" t="str">
        <x:v>ACK</x:v>
      </x:c>
      <x:c r="H13" s="19" t="str">
        <x:v>N</x:v>
      </x:c>
      <x:c r="I13" s="19" t="str">
        <x:v>Restates/acknowledges the reported fatigue without a new request.</x:v>
      </x:c>
      <x:c r="J13" s="17" t="s">
        <x:v>168</x:v>
      </x:c>
    </x:row>
    <x:row r="14" ht="91.5" customHeight="1">
      <x:c r="A14" s="16" t="s">
        <x:v>169</x:v>
      </x:c>
      <x:c r="B14" s="17" t="s">
        <x:v>134</x:v>
      </x:c>
      <x:c r="C14" s="17" t="s">
        <x:v>170</x:v>
      </x:c>
      <x:c r="D14" s="17" t="s">
        <x:v>171</x:v>
      </x:c>
      <x:c r="E14" s="18" t="s">
        <x:v>172</x:v>
      </x:c>
      <x:c r="F14" s="19" t="str">
        <x:v>1</x:v>
      </x:c>
      <x:c r="G14" s="19" t="str">
        <x:v>HIST</x:v>
      </x:c>
      <x:c r="H14" s="19" t="str">
        <x:v>N</x:v>
      </x:c>
      <x:c r="I14" s="19" t="str"/>
      <x:c r="J14" s="17" t="s">
        <x:v>173</x:v>
      </x:c>
    </x:row>
    <x:row r="15" ht="91.5" customHeight="1">
      <x:c r="A15" s="16" t="s">
        <x:v>174</x:v>
      </x:c>
      <x:c r="B15" s="17" t="s">
        <x:v>116</x:v>
      </x:c>
      <x:c r="C15" s="17" t="s">
        <x:v>175</x:v>
      </x:c>
      <x:c r="D15" s="17" t="s">
        <x:v>176</x:v>
      </x:c>
      <x:c r="E15" s="18" t="s">
        <x:v>177</x:v>
      </x:c>
      <x:c r="F15" s="19" t="str">
        <x:v>2</x:v>
      </x:c>
      <x:c r="G15" s="19" t="str">
        <x:v>HIST</x:v>
      </x:c>
      <x:c r="H15" s="19" t="str">
        <x:v>N</x:v>
      </x:c>
      <x:c r="I15" s="19" t="str">
        <x:v>Migraine medication and any other regular medication.</x:v>
      </x:c>
      <x:c r="J15" s="17" t="s">
        <x:v>178</x:v>
      </x:c>
    </x:row>
    <x:row r="16" ht="91.5" customHeight="1">
      <x:c r="A16" s="16" t="s">
        <x:v>179</x:v>
      </x:c>
      <x:c r="B16" s="17" t="s">
        <x:v>116</x:v>
      </x:c>
      <x:c r="C16" s="17" t="s">
        <x:v>180</x:v>
      </x:c>
      <x:c r="D16" s="17" t="s">
        <x:v>181</x:v>
      </x:c>
      <x:c r="E16" s="18" t="s">
        <x:v>182</x:v>
      </x:c>
      <x:c r="F16" s="19" t="str">
        <x:v>3</x:v>
      </x:c>
      <x:c r="G16" s="19" t="str">
        <x:v>HIST</x:v>
      </x:c>
      <x:c r="H16" s="19" t="str">
        <x:v>N</x:v>
      </x:c>
      <x:c r="I16" s="19" t="str">
        <x:v>Muscle aches, body pains and joint pains.</x:v>
      </x:c>
      <x:c r="J16" s="17" t="s">
        <x:v>183</x:v>
      </x:c>
    </x:row>
    <x:row r="17" ht="91.5" customHeight="1">
      <x:c r="A17" s="16" t="s">
        <x:v>184</x:v>
      </x:c>
      <x:c r="B17" s="17" t="s">
        <x:v>150</x:v>
      </x:c>
      <x:c r="C17" s="17" t="s">
        <x:v>185</x:v>
      </x:c>
      <x:c r="D17" s="17" t="s">
        <x:v>186</x:v>
      </x:c>
      <x:c r="E17" s="18" t="s">
        <x:v>187</x:v>
      </x:c>
      <x:c r="F17" s="19" t="str">
        <x:v>3</x:v>
      </x:c>
      <x:c r="G17" s="19" t="str">
        <x:v>HIST</x:v>
      </x:c>
      <x:c r="H17" s="19" t="str">
        <x:v>N</x:v>
      </x:c>
      <x:c r="I17" s="19" t="str">
        <x:v>Measured temperature, shaking chills and night sweats.</x:v>
      </x:c>
      <x:c r="J17" s="17" t="s">
        <x:v>188</x:v>
      </x:c>
    </x:row>
    <x:row r="18" ht="91.5" customHeight="1">
      <x:c r="A18" s="16" t="s">
        <x:v>189</x:v>
      </x:c>
      <x:c r="B18" s="17" t="s">
        <x:v>150</x:v>
      </x:c>
      <x:c r="C18" s="17" t="s">
        <x:v>190</x:v>
      </x:c>
      <x:c r="D18" s="17" t="s">
        <x:v>191</x:v>
      </x:c>
      <x:c r="E18" s="18" t="s">
        <x:v>192</x:v>
      </x:c>
      <x:c r="F18" s="19" t="str">
        <x:v>1</x:v>
      </x:c>
      <x:c r="G18" s="19" t="str">
        <x:v>HIST</x:v>
      </x:c>
      <x:c r="H18" s="19" t="str">
        <x:v>N</x:v>
      </x:c>
      <x:c r="I18" s="19" t="str">
        <x:v>General worsening and lying down are alternative probes for the same aggravating-factor attribute.</x:v>
      </x:c>
      <x:c r="J18" s="17" t="s">
        <x:v>193</x:v>
      </x:c>
    </x:row>
    <x:row r="19" ht="91.5" customHeight="1">
      <x:c r="A19" s="16" t="s">
        <x:v>194</x:v>
      </x:c>
      <x:c r="B19" s="17" t="s">
        <x:v>116</x:v>
      </x:c>
      <x:c r="C19" s="17" t="s">
        <x:v>195</x:v>
      </x:c>
      <x:c r="D19" s="17" t="s">
        <x:v>196</x:v>
      </x:c>
      <x:c r="E19" s="18" t="s">
        <x:v>197</x:v>
      </x:c>
      <x:c r="F19" s="19" t="str">
        <x:v>1</x:v>
      </x:c>
      <x:c r="G19" s="19" t="str">
        <x:v>HIST</x:v>
      </x:c>
      <x:c r="H19" s="19" t="str">
        <x:v>N</x:v>
      </x:c>
      <x:c r="I19" s="19" t="str"/>
      <x:c r="J19" s="17" t="s">
        <x:v>198</x:v>
      </x:c>
    </x:row>
    <x:row r="20" ht="91.5" customHeight="1">
      <x:c r="A20" s="16" t="s">
        <x:v>199</x:v>
      </x:c>
      <x:c r="B20" s="17" t="s">
        <x:v>134</x:v>
      </x:c>
      <x:c r="C20" s="17" t="s">
        <x:v>200</x:v>
      </x:c>
      <x:c r="D20" s="17" t="s">
        <x:v>201</x:v>
      </x:c>
      <x:c r="E20" s="18" t="s">
        <x:v>202</x:v>
      </x:c>
      <x:c r="F20" s="19" t="str">
        <x:v>1</x:v>
      </x:c>
      <x:c r="G20" s="19" t="str">
        <x:v>MGMT</x:v>
      </x:c>
      <x:c r="H20" s="19" t="str">
        <x:v>N</x:v>
      </x:c>
      <x:c r="I20" s="19" t="str">
        <x:v>Urgent examination/investigation plan is the substantive move; asks consent to proceed.</x:v>
      </x:c>
      <x:c r="J20" s="17" t="s">
        <x:v>203</x:v>
      </x:c>
    </x:row>
    <x:row r="21" ht="91.5" customHeight="1">
      <x:c r="A21" s="16" t="s">
        <x:v>204</x:v>
      </x:c>
      <x:c r="B21" s="17" t="s">
        <x:v>116</x:v>
      </x:c>
      <x:c r="C21" s="17" t="s">
        <x:v>205</x:v>
      </x:c>
      <x:c r="D21" s="17" t="s">
        <x:v>206</x:v>
      </x:c>
      <x:c r="E21" s="18" t="s">
        <x:v>207</x:v>
      </x:c>
      <x:c r="F21" s="19" t="str">
        <x:v>1</x:v>
      </x:c>
      <x:c r="G21" s="19" t="str">
        <x:v>HIST</x:v>
      </x:c>
      <x:c r="H21" s="19" t="str">
        <x:v>N</x:v>
      </x:c>
      <x:c r="I21" s="19" t="str">
        <x:v>Association with eating/drinking is one attribute.</x:v>
      </x:c>
      <x:c r="J21" s="17" t="s">
        <x:v>208</x:v>
      </x:c>
    </x:row>
    <x:row r="22" ht="91.5" customHeight="1">
      <x:c r="A22" s="16" t="s">
        <x:v>209</x:v>
      </x:c>
      <x:c r="B22" s="17" t="s">
        <x:v>150</x:v>
      </x:c>
      <x:c r="C22" s="17" t="s">
        <x:v>210</x:v>
      </x:c>
      <x:c r="D22" s="17" t="s">
        <x:v>211</x:v>
      </x:c>
      <x:c r="E22" s="18" t="s">
        <x:v>212</x:v>
      </x:c>
      <x:c r="F22" s="19" t="str">
        <x:v>1</x:v>
      </x:c>
      <x:c r="G22" s="19" t="str">
        <x:v>HIST</x:v>
      </x:c>
      <x:c r="H22" s="19" t="str">
        <x:v>N</x:v>
      </x:c>
      <x:c r="I22" s="19" t="str"/>
      <x:c r="J22" s="17" t="s">
        <x:v>213</x:v>
      </x:c>
    </x:row>
    <x:row r="23" ht="91.5" customHeight="1">
      <x:c r="A23" s="16" t="s">
        <x:v>214</x:v>
      </x:c>
      <x:c r="B23" s="17" t="s">
        <x:v>134</x:v>
      </x:c>
      <x:c r="C23" s="17" t="s">
        <x:v>215</x:v>
      </x:c>
      <x:c r="D23" s="17" t="s">
        <x:v>216</x:v>
      </x:c>
      <x:c r="E23" s="18" t="s">
        <x:v>217</x:v>
      </x:c>
      <x:c r="F23" s="19" t="str">
        <x:v>2</x:v>
      </x:c>
      <x:c r="G23" s="19" t="str">
        <x:v>HIST</x:v>
      </x:c>
      <x:c r="H23" s="19" t="str">
        <x:v>N</x:v>
      </x:c>
      <x:c r="I23" s="19" t="str">
        <x:v>Sick/positive contacts and whether the child has had a COVID test.</x:v>
      </x:c>
      <x:c r="J23" s="17" t="s">
        <x:v>218</x:v>
      </x:c>
    </x:row>
    <x:row r="24" ht="91.5" customHeight="1">
      <x:c r="A24" s="16" t="s">
        <x:v>219</x:v>
      </x:c>
      <x:c r="B24" s="17" t="s">
        <x:v>116</x:v>
      </x:c>
      <x:c r="C24" s="17" t="s">
        <x:v>220</x:v>
      </x:c>
      <x:c r="D24" s="17" t="s">
        <x:v>221</x:v>
      </x:c>
      <x:c r="E24" s="18" t="s">
        <x:v>222</x:v>
      </x:c>
      <x:c r="F24" s="19" t="str">
        <x:v>0</x:v>
      </x:c>
      <x:c r="G24" s="19" t="str">
        <x:v>MGMT</x:v>
      </x:c>
      <x:c r="H24" s="19" t="str">
        <x:v>N</x:v>
      </x:c>
      <x:c r="I24" s="19" t="str"/>
      <x:c r="J24" s="17" t="s">
        <x:v>223</x:v>
      </x:c>
    </x:row>
    <x:row r="25" ht="91.5" customHeight="1">
      <x:c r="A25" s="16" t="s">
        <x:v>224</x:v>
      </x:c>
      <x:c r="B25" s="17" t="s">
        <x:v>134</x:v>
      </x:c>
      <x:c r="C25" s="17" t="s">
        <x:v>225</x:v>
      </x:c>
      <x:c r="D25" s="17" t="s">
        <x:v>226</x:v>
      </x:c>
      <x:c r="E25" s="18" t="s">
        <x:v>227</x:v>
      </x:c>
      <x:c r="F25" s="19" t="str">
        <x:v>1</x:v>
      </x:c>
      <x:c r="G25" s="19" t="str">
        <x:v>HIST</x:v>
      </x:c>
      <x:c r="H25" s="19" t="str">
        <x:v>N</x:v>
      </x:c>
      <x:c r="I25" s="19" t="str"/>
      <x:c r="J25" s="17" t="s">
        <x:v>228</x:v>
      </x:c>
    </x:row>
    <x:row r="26" ht="91.5" customHeight="1">
      <x:c r="A26" s="16" t="s">
        <x:v>229</x:v>
      </x:c>
      <x:c r="B26" s="17" t="s">
        <x:v>150</x:v>
      </x:c>
      <x:c r="C26" s="17" t="s">
        <x:v>230</x:v>
      </x:c>
      <x:c r="D26" s="17" t="s">
        <x:v>231</x:v>
      </x:c>
      <x:c r="E26" s="18" t="s">
        <x:v>232</x:v>
      </x:c>
      <x:c r="F26" s="19" t="str">
        <x:v>0</x:v>
      </x:c>
      <x:c r="G26" s="19" t="str">
        <x:v>ACK</x:v>
      </x:c>
      <x:c r="H26" s="19" t="str">
        <x:v>N</x:v>
      </x:c>
      <x:c r="I26" s="19" t="str">
        <x:v>Reflects the reported exercise difficulty without asking for new information.</x:v>
      </x:c>
      <x:c r="J26" s="17" t="s">
        <x:v>230</x:v>
      </x:c>
    </x:row>
    <x:row r="27" ht="91.5" customHeight="1">
      <x:c r="A27" s="16" t="s">
        <x:v>233</x:v>
      </x:c>
      <x:c r="B27" s="17" t="s">
        <x:v>134</x:v>
      </x:c>
      <x:c r="C27" s="17" t="s">
        <x:v>234</x:v>
      </x:c>
      <x:c r="D27" s="17" t="s">
        <x:v>235</x:v>
      </x:c>
      <x:c r="E27" s="18" t="s">
        <x:v>236</x:v>
      </x:c>
      <x:c r="F27" s="19" t="str">
        <x:v>2</x:v>
      </x:c>
      <x:c r="G27" s="19" t="str">
        <x:v>HIST</x:v>
      </x:c>
      <x:c r="H27" s="19" t="str">
        <x:v>N</x:v>
      </x:c>
      <x:c r="I27" s="19" t="str">
        <x:v>Current and past smoking are separate time-status requests.</x:v>
      </x:c>
      <x:c r="J27" s="17" t="s">
        <x:v>237</x:v>
      </x:c>
    </x:row>
    <x:row r="28" ht="91.5" customHeight="1">
      <x:c r="A28" s="16" t="s">
        <x:v>238</x:v>
      </x:c>
      <x:c r="B28" s="17" t="s">
        <x:v>150</x:v>
      </x:c>
      <x:c r="C28" s="17" t="s">
        <x:v>239</x:v>
      </x:c>
      <x:c r="D28" s="17" t="s">
        <x:v>240</x:v>
      </x:c>
      <x:c r="E28" s="18" t="s">
        <x:v>241</x:v>
      </x:c>
      <x:c r="F28" s="19" t="str">
        <x:v>1</x:v>
      </x:c>
      <x:c r="G28" s="19" t="str">
        <x:v>HIST</x:v>
      </x:c>
      <x:c r="H28" s="19" t="str">
        <x:v>N</x:v>
      </x:c>
      <x:c r="I28" s="19" t="str"/>
      <x:c r="J28" s="17" t="s">
        <x:v>242</x:v>
      </x:c>
    </x:row>
    <x:row r="29" ht="91.5" customHeight="1">
      <x:c r="A29" s="16" t="s">
        <x:v>243</x:v>
      </x:c>
      <x:c r="B29" s="17" t="s">
        <x:v>116</x:v>
      </x:c>
      <x:c r="C29" s="17" t="s">
        <x:v>244</x:v>
      </x:c>
      <x:c r="D29" s="17" t="s">
        <x:v>245</x:v>
      </x:c>
      <x:c r="E29" s="18" t="s">
        <x:v>246</x:v>
      </x:c>
      <x:c r="F29" s="19" t="str">
        <x:v>0</x:v>
      </x:c>
      <x:c r="G29" s="19" t="str">
        <x:v>EXAM</x:v>
      </x:c>
      <x:c r="H29" s="19" t="str">
        <x:v>N</x:v>
      </x:c>
      <x:c r="I29" s="19" t="str"/>
      <x:c r="J29" s="17" t="s">
        <x:v>247</x:v>
      </x:c>
    </x:row>
    <x:row r="30" ht="91.5" customHeight="1">
      <x:c r="A30" s="16" t="s">
        <x:v>248</x:v>
      </x:c>
      <x:c r="B30" s="17" t="s">
        <x:v>134</x:v>
      </x:c>
      <x:c r="C30" s="17" t="s">
        <x:v>249</x:v>
      </x:c>
      <x:c r="D30" s="17" t="s">
        <x:v>250</x:v>
      </x:c>
      <x:c r="E30" s="18" t="s">
        <x:v>251</x:v>
      </x:c>
      <x:c r="F30" s="19" t="str">
        <x:v>0</x:v>
      </x:c>
      <x:c r="G30" s="19" t="str">
        <x:v>MGMT</x:v>
      </x:c>
      <x:c r="H30" s="19" t="str">
        <x:v>N</x:v>
      </x:c>
      <x:c r="I30" s="19" t="str"/>
      <x:c r="J30" s="17" t="s">
        <x:v>252</x:v>
      </x:c>
    </x:row>
    <x:row r="31" ht="91.5" customHeight="1">
      <x:c r="A31" s="16" t="s">
        <x:v>253</x:v>
      </x:c>
      <x:c r="B31" s="17" t="s">
        <x:v>116</x:v>
      </x:c>
      <x:c r="C31" s="17" t="s">
        <x:v>254</x:v>
      </x:c>
      <x:c r="D31" s="17" t="s">
        <x:v>255</x:v>
      </x:c>
      <x:c r="E31" s="18" t="s">
        <x:v>256</x:v>
      </x:c>
      <x:c r="F31" s="19" t="str">
        <x:v>1</x:v>
      </x:c>
      <x:c r="G31" s="19" t="str">
        <x:v>CLOSE</x:v>
      </x:c>
      <x:c r="H31" s="19" t="str">
        <x:v>N</x:v>
      </x:c>
      <x:c r="I31" s="19" t="str">
        <x:v>Recap followed by a confirmation check.</x:v>
      </x:c>
      <x:c r="J31" s="17" t="s">
        <x:v>257</x:v>
      </x:c>
    </x:row>
    <x:row r="32" ht="91.5" customHeight="1">
      <x:c r="A32" s="16" t="s">
        <x:v>258</x:v>
      </x:c>
      <x:c r="B32" s="17" t="s">
        <x:v>134</x:v>
      </x:c>
      <x:c r="C32" s="17" t="s">
        <x:v>259</x:v>
      </x:c>
      <x:c r="D32" s="17" t="s">
        <x:v>260</x:v>
      </x:c>
      <x:c r="E32" s="18" t="s">
        <x:v>261</x:v>
      </x:c>
      <x:c r="F32" s="19" t="str">
        <x:v>1</x:v>
      </x:c>
      <x:c r="G32" s="19" t="str">
        <x:v>CLOSE</x:v>
      </x:c>
      <x:c r="H32" s="19" t="str">
        <x:v>N</x:v>
      </x:c>
      <x:c r="I32" s="19" t="str">
        <x:v>Explains the hand-back/next-step transition and checks agreement.</x:v>
      </x:c>
      <x:c r="J32" s="17" t="s">
        <x:v>262</x:v>
      </x:c>
    </x:row>
    <x:row r="33" ht="91.5" customHeight="1">
      <x:c r="A33" s="16" t="s">
        <x:v>263</x:v>
      </x:c>
      <x:c r="B33" s="17" t="s">
        <x:v>116</x:v>
      </x:c>
      <x:c r="C33" s="17" t="s">
        <x:v>264</x:v>
      </x:c>
      <x:c r="D33" s="17" t="s">
        <x:v>265</x:v>
      </x:c>
      <x:c r="E33" s="18" t="s">
        <x:v>266</x:v>
      </x:c>
      <x:c r="F33" s="19" t="str">
        <x:v>3</x:v>
      </x:c>
      <x:c r="G33" s="19" t="str">
        <x:v>HIST</x:v>
      </x:c>
      <x:c r="H33" s="19" t="str">
        <x:v>N</x:v>
      </x:c>
      <x:c r="I33" s="19" t="str">
        <x:v>Onset, vomiting frequency and diarrhea frequency.</x:v>
      </x:c>
      <x:c r="J33" s="17" t="s">
        <x:v>267</x:v>
      </x:c>
    </x:row>
    <x:row r="34" ht="91.5" customHeight="1">
      <x:c r="A34" s="16" t="s">
        <x:v>268</x:v>
      </x:c>
      <x:c r="B34" s="17" t="s">
        <x:v>150</x:v>
      </x:c>
      <x:c r="C34" s="17" t="s">
        <x:v>269</x:v>
      </x:c>
      <x:c r="D34" s="17" t="s">
        <x:v>270</x:v>
      </x:c>
      <x:c r="E34" s="18" t="s">
        <x:v>271</x:v>
      </x:c>
      <x:c r="F34" s="19" t="str">
        <x:v>5+</x:v>
      </x:c>
      <x:c r="G34" s="19" t="str">
        <x:v>HIST</x:v>
      </x:c>
      <x:c r="H34" s="19" t="str">
        <x:v>N</x:v>
      </x:c>
      <x:c r="I34" s="19" t="str">
        <x:v>Screens for multiple distinct symptoms.</x:v>
      </x:c>
      <x:c r="J34" s="17" t="s">
        <x:v>272</x:v>
      </x:c>
    </x:row>
    <x:row r="35" ht="91.5" customHeight="1">
      <x:c r="A35" s="16" t="s">
        <x:v>273</x:v>
      </x:c>
      <x:c r="B35" s="17" t="s">
        <x:v>134</x:v>
      </x:c>
      <x:c r="C35" s="17" t="s">
        <x:v>274</x:v>
      </x:c>
      <x:c r="D35" s="17" t="s">
        <x:v>265</x:v>
      </x:c>
      <x:c r="E35" s="18" t="s">
        <x:v>275</x:v>
      </x:c>
      <x:c r="F35" s="19" t="str">
        <x:v>1</x:v>
      </x:c>
      <x:c r="G35" s="19" t="str">
        <x:v>HIST</x:v>
      </x:c>
      <x:c r="H35" s="19" t="str">
        <x:v>N</x:v>
      </x:c>
      <x:c r="I35" s="19" t="str"/>
      <x:c r="J35" s="17" t="s">
        <x:v>276</x:v>
      </x:c>
    </x:row>
    <x:row r="36" ht="91.5" customHeight="1">
      <x:c r="A36" s="16" t="s">
        <x:v>277</x:v>
      </x:c>
      <x:c r="B36" s="17" t="s">
        <x:v>116</x:v>
      </x:c>
      <x:c r="C36" s="17" t="s">
        <x:v>278</x:v>
      </x:c>
      <x:c r="D36" s="17" t="s">
        <x:v>279</x:v>
      </x:c>
      <x:c r="E36" s="18" t="s">
        <x:v>280</x:v>
      </x:c>
      <x:c r="F36" s="19" t="str">
        <x:v>2</x:v>
      </x:c>
      <x:c r="G36" s="19" t="str">
        <x:v>HIST</x:v>
      </x:c>
      <x:c r="H36" s="19" t="str">
        <x:v>N</x:v>
      </x:c>
      <x:c r="I36" s="19" t="str">
        <x:v>Growth and development are two distinct domains.</x:v>
      </x:c>
      <x:c r="J36" s="17" t="s">
        <x:v>281</x:v>
      </x:c>
    </x:row>
    <x:row r="37" ht="91.5" customHeight="1">
      <x:c r="A37" s="16" t="s">
        <x:v>282</x:v>
      </x:c>
      <x:c r="B37" s="17" t="s">
        <x:v>150</x:v>
      </x:c>
      <x:c r="C37" s="17" t="s">
        <x:v>283</x:v>
      </x:c>
      <x:c r="D37" s="17" t="s">
        <x:v>284</x:v>
      </x:c>
      <x:c r="E37" s="18" t="s">
        <x:v>285</x:v>
      </x:c>
      <x:c r="F37" s="19" t="str">
        <x:v>2</x:v>
      </x:c>
      <x:c r="G37" s="19" t="str">
        <x:v>HIST</x:v>
      </x:c>
      <x:c r="H37" s="19" t="str">
        <x:v>N</x:v>
      </x:c>
      <x:c r="I37" s="19" t="str">
        <x:v>Better and worse are distinct modifying factors.</x:v>
      </x:c>
      <x:c r="J37" s="17" t="s">
        <x:v>286</x:v>
      </x:c>
    </x:row>
    <x:row r="38" ht="91.5" customHeight="1">
      <x:c r="A38" s="16" t="s">
        <x:v>287</x:v>
      </x:c>
      <x:c r="B38" s="17" t="s">
        <x:v>116</x:v>
      </x:c>
      <x:c r="C38" s="17" t="s">
        <x:v>288</x:v>
      </x:c>
      <x:c r="D38" s="17" t="s">
        <x:v>289</x:v>
      </x:c>
      <x:c r="E38" s="18" t="s">
        <x:v>290</x:v>
      </x:c>
      <x:c r="F38" s="19" t="str">
        <x:v>2</x:v>
      </x:c>
      <x:c r="G38" s="19" t="str">
        <x:v>HIST</x:v>
      </x:c>
      <x:c r="H38" s="19" t="str">
        <x:v>N</x:v>
      </x:c>
      <x:c r="I38" s="19" t="str">
        <x:v>High blood pressure and diabetes are distinct conditions.</x:v>
      </x:c>
      <x:c r="J38" s="17" t="s">
        <x:v>291</x:v>
      </x:c>
    </x:row>
    <x:row r="39" ht="91.5" customHeight="1">
      <x:c r="A39" s="16" t="s">
        <x:v>292</x:v>
      </x:c>
      <x:c r="B39" s="17" t="s">
        <x:v>116</x:v>
      </x:c>
      <x:c r="C39" s="17" t="s">
        <x:v>293</x:v>
      </x:c>
      <x:c r="D39" s="17" t="s">
        <x:v>294</x:v>
      </x:c>
      <x:c r="E39" s="18" t="s">
        <x:v>295</x:v>
      </x:c>
      <x:c r="F39" s="19" t="str">
        <x:v>4</x:v>
      </x:c>
      <x:c r="G39" s="19" t="str">
        <x:v>HIST</x:v>
      </x:c>
      <x:c r="H39" s="19" t="str">
        <x:v>N</x:v>
      </x:c>
      <x:c r="I39" s="19" t="str">
        <x:v>Fever, chest pain, speaking difficulty and response to Ventolin.</x:v>
      </x:c>
      <x:c r="J39" s="17" t="s">
        <x:v>296</x:v>
      </x:c>
    </x:row>
    <x:row r="40" ht="91.5" customHeight="1">
      <x:c r="A40" s="16" t="s">
        <x:v>297</x:v>
      </x:c>
      <x:c r="B40" s="17" t="s">
        <x:v>134</x:v>
      </x:c>
      <x:c r="C40" s="17" t="s">
        <x:v>298</x:v>
      </x:c>
      <x:c r="D40" s="17" t="s">
        <x:v>299</x:v>
      </x:c>
      <x:c r="E40" s="18" t="s">
        <x:v>300</x:v>
      </x:c>
      <x:c r="F40" s="19" t="str">
        <x:v>1</x:v>
      </x:c>
      <x:c r="G40" s="19" t="str">
        <x:v>HIST</x:v>
      </x:c>
      <x:c r="H40" s="19" t="str">
        <x:v>N</x:v>
      </x:c>
      <x:c r="I40" s="19" t="str">
        <x:v>Confirmation of the summarized numbness history.</x:v>
      </x:c>
      <x:c r="J40" s="17" t="s">
        <x:v>301</x:v>
      </x:c>
    </x:row>
    <x:row r="41" ht="91.5" customHeight="1">
      <x:c r="A41" s="16" t="s">
        <x:v>302</x:v>
      </x:c>
      <x:c r="B41" s="17" t="s">
        <x:v>116</x:v>
      </x:c>
      <x:c r="C41" s="17" t="s">
        <x:v>195</x:v>
      </x:c>
      <x:c r="D41" s="17" t="s">
        <x:v>196</x:v>
      </x:c>
      <x:c r="E41" s="18" t="s">
        <x:v>303</x:v>
      </x:c>
      <x:c r="F41" s="19" t="str">
        <x:v>2</x:v>
      </x:c>
      <x:c r="G41" s="19" t="str">
        <x:v>HIST</x:v>
      </x:c>
      <x:c r="H41" s="19" t="str">
        <x:v>N</x:v>
      </x:c>
      <x:c r="I41" s="19" t="str">
        <x:v>Fever and chills.</x:v>
      </x:c>
      <x:c r="J41" s="17" t="s">
        <x:v>198</x:v>
      </x:c>
    </x:row>
    <x:row r="42" ht="91.5" customHeight="1">
      <x:c r="A42" s="16" t="s">
        <x:v>304</x:v>
      </x:c>
      <x:c r="B42" s="17" t="s">
        <x:v>134</x:v>
      </x:c>
      <x:c r="C42" s="17" t="s">
        <x:v>305</x:v>
      </x:c>
      <x:c r="D42" s="17" t="s">
        <x:v>306</x:v>
      </x:c>
      <x:c r="E42" s="18" t="s">
        <x:v>307</x:v>
      </x:c>
      <x:c r="F42" s="19" t="str">
        <x:v>0</x:v>
      </x:c>
      <x:c r="G42" s="19" t="str">
        <x:v>CLOSE</x:v>
      </x:c>
      <x:c r="H42" s="19" t="str">
        <x:v>N</x:v>
      </x:c>
      <x:c r="I42" s="19" t="str">
        <x:v>Hands back to the family doctor and transitions to next steps.</x:v>
      </x:c>
      <x:c r="J42" s="17" t="s">
        <x:v>308</x:v>
      </x:c>
    </x:row>
    <x:row r="43" ht="91.5" customHeight="1">
      <x:c r="A43" s="16" t="s">
        <x:v>309</x:v>
      </x:c>
      <x:c r="B43" s="17" t="s">
        <x:v>150</x:v>
      </x:c>
      <x:c r="C43" s="17" t="s">
        <x:v>310</x:v>
      </x:c>
      <x:c r="D43" s="17" t="s">
        <x:v>152</x:v>
      </x:c>
      <x:c r="E43" s="18" t="s">
        <x:v>311</x:v>
      </x:c>
      <x:c r="F43" s="19" t="str">
        <x:v>1</x:v>
      </x:c>
      <x:c r="G43" s="19" t="str">
        <x:v>HIST</x:v>
      </x:c>
      <x:c r="H43" s="19" t="str">
        <x:v>N</x:v>
      </x:c>
      <x:c r="I43" s="19" t="str">
        <x:v>Swollen/engorged are alternative descriptors of the tick's state.</x:v>
      </x:c>
      <x:c r="J43" s="17" t="s">
        <x:v>310</x:v>
      </x:c>
    </x:row>
    <x:row r="44" ht="91.5" customHeight="1">
      <x:c r="A44" s="16" t="s">
        <x:v>312</x:v>
      </x:c>
      <x:c r="B44" s="17" t="s">
        <x:v>150</x:v>
      </x:c>
      <x:c r="C44" s="17" t="s">
        <x:v>313</x:v>
      </x:c>
      <x:c r="D44" s="17" t="s">
        <x:v>314</x:v>
      </x:c>
      <x:c r="E44" s="18" t="s">
        <x:v>315</x:v>
      </x:c>
      <x:c r="F44" s="19" t="str">
        <x:v>2</x:v>
      </x:c>
      <x:c r="G44" s="19" t="str">
        <x:v>HIST</x:v>
      </x:c>
      <x:c r="H44" s="19" t="str">
        <x:v>N</x:v>
      </x:c>
      <x:c r="I44" s="19" t="str">
        <x:v>Pain character and radiation.</x:v>
      </x:c>
      <x:c r="J44" s="17" t="s">
        <x:v>316</x:v>
      </x:c>
    </x:row>
    <x:row r="45" ht="91.5" customHeight="1">
      <x:c r="A45" s="16" t="s">
        <x:v>317</x:v>
      </x:c>
      <x:c r="B45" s="17" t="s">
        <x:v>134</x:v>
      </x:c>
      <x:c r="C45" s="17" t="s">
        <x:v>318</x:v>
      </x:c>
      <x:c r="D45" s="17" t="s">
        <x:v>319</x:v>
      </x:c>
      <x:c r="E45" s="18" t="s">
        <x:v>320</x:v>
      </x:c>
      <x:c r="F45" s="19" t="str">
        <x:v>0</x:v>
      </x:c>
      <x:c r="G45" s="19" t="str">
        <x:v>EXAM</x:v>
      </x:c>
      <x:c r="H45" s="19" t="str">
        <x:v>N</x:v>
      </x:c>
      <x:c r="I45" s="19" t="str"/>
      <x:c r="J45" s="17" t="s">
        <x:v>321</x:v>
      </x:c>
    </x:row>
    <x:row r="46" ht="91.5" customHeight="1">
      <x:c r="A46" s="16" t="s">
        <x:v>322</x:v>
      </x:c>
      <x:c r="B46" s="17" t="s">
        <x:v>134</x:v>
      </x:c>
      <x:c r="C46" s="17" t="s">
        <x:v>323</x:v>
      </x:c>
      <x:c r="D46" s="17" t="s">
        <x:v>324</x:v>
      </x:c>
      <x:c r="E46" s="18" t="s">
        <x:v>325</x:v>
      </x:c>
      <x:c r="F46" s="19" t="str">
        <x:v>1</x:v>
      </x:c>
      <x:c r="G46" s="19" t="str">
        <x:v>HIST</x:v>
      </x:c>
      <x:c r="H46" s="19" t="str">
        <x:v>N</x:v>
      </x:c>
      <x:c r="I46" s="19" t="str"/>
      <x:c r="J46" s="17" t="s">
        <x:v>326</x:v>
      </x:c>
    </x:row>
    <x:row r="47" ht="91.5" customHeight="1">
      <x:c r="A47" s="16" t="s">
        <x:v>327</x:v>
      </x:c>
      <x:c r="B47" s="17" t="s">
        <x:v>134</x:v>
      </x:c>
      <x:c r="C47" s="17" t="s">
        <x:v>328</x:v>
      </x:c>
      <x:c r="D47" s="17" t="s">
        <x:v>329</x:v>
      </x:c>
      <x:c r="E47" s="18" t="s">
        <x:v>330</x:v>
      </x:c>
      <x:c r="F47" s="19" t="str">
        <x:v>2</x:v>
      </x:c>
      <x:c r="G47" s="19" t="str">
        <x:v>HIST</x:v>
      </x:c>
      <x:c r="H47" s="19" t="str">
        <x:v>N</x:v>
      </x:c>
      <x:c r="I47" s="19" t="str">
        <x:v>Amount smoked and duration.</x:v>
      </x:c>
      <x:c r="J47" s="17" t="s">
        <x:v>331</x:v>
      </x:c>
    </x:row>
    <x:row r="48" ht="91.5" customHeight="1">
      <x:c r="A48" s="16" t="s">
        <x:v>332</x:v>
      </x:c>
      <x:c r="B48" s="17" t="s">
        <x:v>116</x:v>
      </x:c>
      <x:c r="C48" s="17" t="s">
        <x:v>333</x:v>
      </x:c>
      <x:c r="D48" s="17" t="s">
        <x:v>334</x:v>
      </x:c>
      <x:c r="E48" s="18" t="s">
        <x:v>335</x:v>
      </x:c>
      <x:c r="F48" s="19" t="str">
        <x:v>2</x:v>
      </x:c>
      <x:c r="G48" s="19" t="str">
        <x:v>HIST</x:v>
      </x:c>
      <x:c r="H48" s="19" t="str">
        <x:v>N</x:v>
      </x:c>
      <x:c r="I48" s="19" t="str">
        <x:v>Upper- and lower-extremity weakness are distinct locations.</x:v>
      </x:c>
      <x:c r="J48" s="17" t="s">
        <x:v>336</x:v>
      </x:c>
    </x:row>
    <x:row r="49" ht="91.5" customHeight="1">
      <x:c r="A49" s="16" t="s">
        <x:v>337</x:v>
      </x:c>
      <x:c r="B49" s="17" t="s">
        <x:v>150</x:v>
      </x:c>
      <x:c r="C49" s="17" t="s">
        <x:v>338</x:v>
      </x:c>
      <x:c r="D49" s="17" t="s">
        <x:v>339</x:v>
      </x:c>
      <x:c r="E49" s="18" t="s">
        <x:v>340</x:v>
      </x:c>
      <x:c r="F49" s="19" t="str">
        <x:v>1</x:v>
      </x:c>
      <x:c r="G49" s="19" t="str">
        <x:v>HIST</x:v>
      </x:c>
      <x:c r="H49" s="19" t="str">
        <x:v>N</x:v>
      </x:c>
      <x:c r="I49" s="19" t="str">
        <x:v>Both phrasings ask about when/under what activity the pain occurs.</x:v>
      </x:c>
      <x:c r="J49" s="17" t="s">
        <x:v>341</x:v>
      </x:c>
    </x:row>
    <x:row r="50" ht="91.5" customHeight="1">
      <x:c r="A50" s="16" t="s">
        <x:v>342</x:v>
      </x:c>
      <x:c r="B50" s="17" t="s">
        <x:v>116</x:v>
      </x:c>
      <x:c r="C50" s="17" t="s">
        <x:v>343</x:v>
      </x:c>
      <x:c r="D50" s="17" t="s">
        <x:v>344</x:v>
      </x:c>
      <x:c r="E50" s="18" t="s">
        <x:v>345</x:v>
      </x:c>
      <x:c r="F50" s="19" t="str">
        <x:v>1</x:v>
      </x:c>
      <x:c r="G50" s="19" t="str">
        <x:v>HIST</x:v>
      </x:c>
      <x:c r="H50" s="19" t="str">
        <x:v>N</x:v>
      </x:c>
      <x:c r="I50" s="19" t="str"/>
      <x:c r="J50" s="17" t="s">
        <x:v>346</x:v>
      </x:c>
    </x:row>
    <x:row r="51" ht="91.5" customHeight="1">
      <x:c r="A51" s="16" t="s">
        <x:v>347</x:v>
      </x:c>
      <x:c r="B51" s="17" t="s">
        <x:v>116</x:v>
      </x:c>
      <x:c r="C51" s="17" t="s">
        <x:v>348</x:v>
      </x:c>
      <x:c r="D51" s="17" t="s">
        <x:v>349</x:v>
      </x:c>
      <x:c r="E51" s="18" t="s">
        <x:v>350</x:v>
      </x:c>
      <x:c r="F51" s="19" t="str">
        <x:v>0</x:v>
      </x:c>
      <x:c r="G51" s="19" t="str">
        <x:v>MGMT</x:v>
      </x:c>
      <x:c r="H51" s="19" t="str">
        <x:v>N</x:v>
      </x:c>
      <x:c r="I51" s="19" t="str"/>
      <x:c r="J51" s="17" t="s">
        <x:v>351</x:v>
      </x:c>
    </x:row>
    <x:row r="52" ht="91.5" customHeight="1">
      <x:c r="A52" s="16" t="s">
        <x:v>352</x:v>
      </x:c>
      <x:c r="B52" s="17" t="s">
        <x:v>116</x:v>
      </x:c>
      <x:c r="C52" s="17" t="s">
        <x:v>353</x:v>
      </x:c>
      <x:c r="D52" s="17" t="s">
        <x:v>354</x:v>
      </x:c>
      <x:c r="E52" s="18" t="s">
        <x:v>355</x:v>
      </x:c>
      <x:c r="F52" s="19" t="str">
        <x:v>0</x:v>
      </x:c>
      <x:c r="G52" s="19" t="str">
        <x:v>EXAM</x:v>
      </x:c>
      <x:c r="H52" s="19" t="str">
        <x:v>N</x:v>
      </x:c>
      <x:c r="I52" s="19" t="str"/>
      <x:c r="J52" s="17" t="s">
        <x:v>356</x:v>
      </x:c>
    </x:row>
    <x:row r="53" ht="91.5" customHeight="1">
      <x:c r="A53" s="16" t="s">
        <x:v>357</x:v>
      </x:c>
      <x:c r="B53" s="17" t="s">
        <x:v>116</x:v>
      </x:c>
      <x:c r="C53" s="17" t="s">
        <x:v>358</x:v>
      </x:c>
      <x:c r="D53" s="17" t="s">
        <x:v>359</x:v>
      </x:c>
      <x:c r="E53" s="18" t="s">
        <x:v>360</x:v>
      </x:c>
      <x:c r="F53" s="19" t="str">
        <x:v>1</x:v>
      </x:c>
      <x:c r="G53" s="19" t="str">
        <x:v>HIST</x:v>
      </x:c>
      <x:c r="H53" s="19" t="str">
        <x:v>N</x:v>
      </x:c>
      <x:c r="I53" s="19" t="str"/>
      <x:c r="J53" s="17" t="s">
        <x:v>361</x:v>
      </x:c>
    </x:row>
    <x:row r="54" ht="91.5" customHeight="1">
      <x:c r="A54" s="16" t="s">
        <x:v>362</x:v>
      </x:c>
      <x:c r="B54" s="17" t="s">
        <x:v>116</x:v>
      </x:c>
      <x:c r="C54" s="17" t="s">
        <x:v>363</x:v>
      </x:c>
      <x:c r="D54" s="17" t="s">
        <x:v>364</x:v>
      </x:c>
      <x:c r="E54" s="18" t="s">
        <x:v>365</x:v>
      </x:c>
      <x:c r="F54" s="19" t="str">
        <x:v>0</x:v>
      </x:c>
      <x:c r="G54" s="19" t="str">
        <x:v>CLOSE</x:v>
      </x:c>
      <x:c r="H54" s="19" t="str">
        <x:v>N</x:v>
      </x:c>
      <x:c r="I54" s="19" t="str">
        <x:v>Summary/recap of the history without a new request.</x:v>
      </x:c>
      <x:c r="J54" s="17" t="s">
        <x:v>366</x:v>
      </x:c>
    </x:row>
    <x:row r="55" ht="91.5" customHeight="1">
      <x:c r="A55" s="16" t="s">
        <x:v>367</x:v>
      </x:c>
      <x:c r="B55" s="17" t="s">
        <x:v>150</x:v>
      </x:c>
      <x:c r="C55" s="17" t="s">
        <x:v>368</x:v>
      </x:c>
      <x:c r="D55" s="17" t="s">
        <x:v>369</x:v>
      </x:c>
      <x:c r="E55" s="18" t="s">
        <x:v>370</x:v>
      </x:c>
      <x:c r="F55" s="19" t="str">
        <x:v>1</x:v>
      </x:c>
      <x:c r="G55" s="19" t="str">
        <x:v>HIST</x:v>
      </x:c>
      <x:c r="H55" s="19" t="str">
        <x:v>N</x:v>
      </x:c>
      <x:c r="I55" s="19" t="str">
        <x:v>Alternative descriptions clarify the same breathing complaint.</x:v>
      </x:c>
      <x:c r="J55" s="17" t="s">
        <x:v>371</x:v>
      </x:c>
    </x:row>
    <x:row r="56" ht="91.5" customHeight="1">
      <x:c r="A56" s="16" t="s">
        <x:v>372</x:v>
      </x:c>
      <x:c r="B56" s="17" t="s">
        <x:v>116</x:v>
      </x:c>
      <x:c r="C56" s="17" t="s">
        <x:v>373</x:v>
      </x:c>
      <x:c r="D56" s="17" t="s">
        <x:v>374</x:v>
      </x:c>
      <x:c r="E56" s="18" t="s">
        <x:v>375</x:v>
      </x:c>
      <x:c r="F56" s="19" t="str">
        <x:v>0</x:v>
      </x:c>
      <x:c r="G56" s="19" t="str">
        <x:v>ACK</x:v>
      </x:c>
      <x:c r="H56" s="19" t="str">
        <x:v>N</x:v>
      </x:c>
      <x:c r="I56" s="19" t="str">
        <x:v>Reflective acknowledgement only.</x:v>
      </x:c>
      <x:c r="J56" s="17" t="s">
        <x:v>376</x:v>
      </x:c>
    </x:row>
    <x:row r="57" ht="91.5" customHeight="1">
      <x:c r="A57" s="16" t="s">
        <x:v>377</x:v>
      </x:c>
      <x:c r="B57" s="17" t="s">
        <x:v>150</x:v>
      </x:c>
      <x:c r="C57" s="17" t="s">
        <x:v>378</x:v>
      </x:c>
      <x:c r="D57" s="17" t="s">
        <x:v>379</x:v>
      </x:c>
      <x:c r="E57" s="18" t="s">
        <x:v>380</x:v>
      </x:c>
      <x:c r="F57" s="19" t="str">
        <x:v>1</x:v>
      </x:c>
      <x:c r="G57" s="19" t="str">
        <x:v>HIST</x:v>
      </x:c>
      <x:c r="H57" s="19" t="str">
        <x:v>N</x:v>
      </x:c>
      <x:c r="I57" s="19" t="str"/>
      <x:c r="J57" s="17" t="s">
        <x:v>381</x:v>
      </x:c>
    </x:row>
    <x:row r="58" ht="91.5" customHeight="1">
      <x:c r="A58" s="16" t="s">
        <x:v>382</x:v>
      </x:c>
      <x:c r="B58" s="17" t="s">
        <x:v>150</x:v>
      </x:c>
      <x:c r="C58" s="17" t="s">
        <x:v>383</x:v>
      </x:c>
      <x:c r="D58" s="17" t="s">
        <x:v>384</x:v>
      </x:c>
      <x:c r="E58" s="18" t="s">
        <x:v>385</x:v>
      </x:c>
      <x:c r="F58" s="19" t="str">
        <x:v>1</x:v>
      </x:c>
      <x:c r="G58" s="19" t="str">
        <x:v>HIST</x:v>
      </x:c>
      <x:c r="H58" s="19" t="str">
        <x:v>N</x:v>
      </x:c>
      <x:c r="I58" s="19" t="str"/>
      <x:c r="J58" s="17" t="s">
        <x:v>386</x:v>
      </x:c>
    </x:row>
    <x:row r="59" ht="91.5" customHeight="1">
      <x:c r="A59" s="16" t="s">
        <x:v>387</x:v>
      </x:c>
      <x:c r="B59" s="17" t="s">
        <x:v>150</x:v>
      </x:c>
      <x:c r="C59" s="17" t="s">
        <x:v>388</x:v>
      </x:c>
      <x:c r="D59" s="17" t="s">
        <x:v>389</x:v>
      </x:c>
      <x:c r="E59" s="18" t="s">
        <x:v>390</x:v>
      </x:c>
      <x:c r="F59" s="19" t="str">
        <x:v>0</x:v>
      </x:c>
      <x:c r="G59" s="19" t="str">
        <x:v>MGMT</x:v>
      </x:c>
      <x:c r="H59" s="19" t="str">
        <x:v>N</x:v>
      </x:c>
      <x:c r="I59" s="19" t="str"/>
      <x:c r="J59" s="17" t="s">
        <x:v>391</x:v>
      </x:c>
    </x:row>
    <x:row r="60" ht="91.5" customHeight="1">
      <x:c r="A60" s="16" t="s">
        <x:v>392</x:v>
      </x:c>
      <x:c r="B60" s="17" t="s">
        <x:v>150</x:v>
      </x:c>
      <x:c r="C60" s="17" t="s">
        <x:v>393</x:v>
      </x:c>
      <x:c r="D60" s="17" t="s">
        <x:v>394</x:v>
      </x:c>
      <x:c r="E60" s="18" t="s">
        <x:v>395</x:v>
      </x:c>
      <x:c r="F60" s="19" t="str">
        <x:v>1</x:v>
      </x:c>
      <x:c r="G60" s="19" t="str">
        <x:v>HIST</x:v>
      </x:c>
      <x:c r="H60" s="19" t="str">
        <x:v>N</x:v>
      </x:c>
      <x:c r="I60" s="19" t="str">
        <x:v>Several alternatives all clarify the single attribute of blood quantity/appearance.</x:v>
      </x:c>
      <x:c r="J60" s="17" t="s">
        <x:v>393</x:v>
      </x:c>
    </x:row>
    <x:row r="61" ht="91.5" customHeight="1">
      <x:c r="A61" s="16" t="s">
        <x:v>396</x:v>
      </x:c>
      <x:c r="B61" s="17" t="s">
        <x:v>134</x:v>
      </x:c>
      <x:c r="C61" s="17" t="s">
        <x:v>397</x:v>
      </x:c>
      <x:c r="D61" s="17" t="s">
        <x:v>152</x:v>
      </x:c>
      <x:c r="E61" s="18" t="s">
        <x:v>398</x:v>
      </x:c>
      <x:c r="F61" s="19" t="str">
        <x:v>1</x:v>
      </x:c>
      <x:c r="G61" s="19" t="str">
        <x:v>HIST</x:v>
      </x:c>
      <x:c r="H61" s="19" t="str">
        <x:v>N</x:v>
      </x:c>
      <x:c r="I61" s="19" t="str"/>
      <x:c r="J61" s="17" t="s">
        <x:v>399</x:v>
      </x:c>
    </x:row>
    <x:row r="62" ht="91.5" customHeight="1">
      <x:c r="A62" s="16" t="s">
        <x:v>400</x:v>
      </x:c>
      <x:c r="B62" s="17" t="s">
        <x:v>150</x:v>
      </x:c>
      <x:c r="C62" s="17" t="s">
        <x:v>401</x:v>
      </x:c>
      <x:c r="D62" s="17" t="s">
        <x:v>402</x:v>
      </x:c>
      <x:c r="E62" s="18" t="s">
        <x:v>403</x:v>
      </x:c>
      <x:c r="F62" s="19" t="str">
        <x:v>1</x:v>
      </x:c>
      <x:c r="G62" s="19" t="str">
        <x:v>HIST</x:v>
      </x:c>
      <x:c r="H62" s="19" t="str">
        <x:v>N</x:v>
      </x:c>
      <x:c r="I62" s="19" t="str">
        <x:v>Sudden versus gradual onset is one onset-pattern attribute.</x:v>
      </x:c>
      <x:c r="J62" s="17" t="s">
        <x:v>401</x:v>
      </x:c>
    </x:row>
    <x:row r="63" ht="91.5" customHeight="1">
      <x:c r="A63" s="16" t="s">
        <x:v>404</x:v>
      </x:c>
      <x:c r="B63" s="17" t="s">
        <x:v>116</x:v>
      </x:c>
      <x:c r="C63" s="17" t="s">
        <x:v>405</x:v>
      </x:c>
      <x:c r="D63" s="17" t="s">
        <x:v>406</x:v>
      </x:c>
      <x:c r="E63" s="18" t="s">
        <x:v>407</x:v>
      </x:c>
      <x:c r="F63" s="19" t="str">
        <x:v>4</x:v>
      </x:c>
      <x:c r="G63" s="19" t="str">
        <x:v>HIST</x:v>
      </x:c>
      <x:c r="H63" s="19" t="str">
        <x:v>N</x:v>
      </x:c>
      <x:c r="I63" s="19" t="str">
        <x:v>Head impact, loss of consciousness, deformity, and swelling/bruising around the shoulder.</x:v>
      </x:c>
      <x:c r="J63" s="17" t="s">
        <x:v>408</x:v>
      </x:c>
    </x:row>
    <x:row r="64" ht="91.5" customHeight="1">
      <x:c r="A64" s="16" t="s">
        <x:v>409</x:v>
      </x:c>
      <x:c r="B64" s="17" t="s">
        <x:v>150</x:v>
      </x:c>
      <x:c r="C64" s="17" t="s">
        <x:v>410</x:v>
      </x:c>
      <x:c r="D64" s="17" t="s">
        <x:v>411</x:v>
      </x:c>
      <x:c r="E64" s="18" t="s">
        <x:v>412</x:v>
      </x:c>
      <x:c r="F64" s="19" t="str">
        <x:v>1</x:v>
      </x:c>
      <x:c r="G64" s="19" t="str">
        <x:v>HIST</x:v>
      </x:c>
      <x:c r="H64" s="19" t="str">
        <x:v>N</x:v>
      </x:c>
      <x:c r="I64" s="19" t="str"/>
      <x:c r="J64" s="17" t="s">
        <x:v>413</x:v>
      </x:c>
    </x:row>
    <x:row r="65" ht="91.5" customHeight="1">
      <x:c r="A65" s="16" t="s">
        <x:v>414</x:v>
      </x:c>
      <x:c r="B65" s="17" t="s">
        <x:v>150</x:v>
      </x:c>
      <x:c r="C65" s="17" t="s">
        <x:v>415</x:v>
      </x:c>
      <x:c r="D65" s="17" t="s">
        <x:v>265</x:v>
      </x:c>
      <x:c r="E65" s="18" t="s">
        <x:v>416</x:v>
      </x:c>
      <x:c r="F65" s="19" t="str">
        <x:v>1</x:v>
      </x:c>
      <x:c r="G65" s="19" t="str">
        <x:v>HIST</x:v>
      </x:c>
      <x:c r="H65" s="19" t="str">
        <x:v>N</x:v>
      </x:c>
      <x:c r="I65" s="19" t="str">
        <x:v>Cheeks/forehead are alternative facial locations.</x:v>
      </x:c>
      <x:c r="J65" s="17" t="s">
        <x:v>417</x:v>
      </x:c>
    </x:row>
    <x:row r="66" ht="91.5" customHeight="1">
      <x:c r="A66" s="16" t="s">
        <x:v>418</x:v>
      </x:c>
      <x:c r="B66" s="17" t="s">
        <x:v>134</x:v>
      </x:c>
      <x:c r="C66" s="17" t="s">
        <x:v>419</x:v>
      </x:c>
      <x:c r="D66" s="17" t="s">
        <x:v>420</x:v>
      </x:c>
      <x:c r="E66" s="18" t="s">
        <x:v>421</x:v>
      </x:c>
      <x:c r="F66" s="19" t="str">
        <x:v>1</x:v>
      </x:c>
      <x:c r="G66" s="19" t="str">
        <x:v>HIST</x:v>
      </x:c>
      <x:c r="H66" s="19" t="str">
        <x:v>N</x:v>
      </x:c>
      <x:c r="I66" s="19" t="str">
        <x:v>Similarity versus difference is one comparison attribute.</x:v>
      </x:c>
      <x:c r="J66" s="17" t="s">
        <x:v>422</x:v>
      </x:c>
    </x:row>
    <x:row r="67" ht="91.5" customHeight="1">
      <x:c r="A67" s="16" t="s">
        <x:v>423</x:v>
      </x:c>
      <x:c r="B67" s="17" t="s">
        <x:v>134</x:v>
      </x:c>
      <x:c r="C67" s="17" t="s">
        <x:v>424</x:v>
      </x:c>
      <x:c r="D67" s="17" t="s">
        <x:v>425</x:v>
      </x:c>
      <x:c r="E67" s="18" t="s">
        <x:v>426</x:v>
      </x:c>
      <x:c r="F67" s="19" t="str">
        <x:v>1</x:v>
      </x:c>
      <x:c r="G67" s="19" t="str">
        <x:v>HIST</x:v>
      </x:c>
      <x:c r="H67" s="19" t="str">
        <x:v>N</x:v>
      </x:c>
      <x:c r="I67" s="19" t="str">
        <x:v>Confirmation of alcohol quantity.</x:v>
      </x:c>
      <x:c r="J67" s="17" t="s">
        <x:v>427</x:v>
      </x:c>
    </x:row>
    <x:row r="68" ht="91.5" customHeight="1">
      <x:c r="A68" s="16" t="s">
        <x:v>428</x:v>
      </x:c>
      <x:c r="B68" s="17" t="s">
        <x:v>134</x:v>
      </x:c>
      <x:c r="C68" s="17" t="s">
        <x:v>429</x:v>
      </x:c>
      <x:c r="D68" s="17" t="s">
        <x:v>265</x:v>
      </x:c>
      <x:c r="E68" s="18" t="s">
        <x:v>430</x:v>
      </x:c>
      <x:c r="F68" s="19" t="str">
        <x:v>2</x:v>
      </x:c>
      <x:c r="G68" s="19" t="str">
        <x:v>HIST</x:v>
      </x:c>
      <x:c r="H68" s="19" t="str">
        <x:v>N</x:v>
      </x:c>
      <x:c r="I68" s="19" t="str">
        <x:v>Heart and lung family history.</x:v>
      </x:c>
      <x:c r="J68" s="17" t="s">
        <x:v>431</x:v>
      </x:c>
    </x:row>
    <x:row r="69" ht="91.5" customHeight="1">
      <x:c r="A69" s="16" t="s">
        <x:v>432</x:v>
      </x:c>
      <x:c r="B69" s="17" t="s">
        <x:v>150</x:v>
      </x:c>
      <x:c r="C69" s="17" t="s">
        <x:v>433</x:v>
      </x:c>
      <x:c r="D69" s="17" t="s">
        <x:v>434</x:v>
      </x:c>
      <x:c r="E69" s="18" t="s">
        <x:v>435</x:v>
      </x:c>
      <x:c r="F69" s="19" t="str">
        <x:v>3</x:v>
      </x:c>
      <x:c r="G69" s="19" t="str">
        <x:v>HIST</x:v>
      </x:c>
      <x:c r="H69" s="19" t="str">
        <x:v>N</x:v>
      </x:c>
      <x:c r="I69" s="19" t="str">
        <x:v>Fever, cough and runny nose.</x:v>
      </x:c>
      <x:c r="J69" s="17" t="s">
        <x:v>436</x:v>
      </x:c>
    </x:row>
    <x:row r="70" ht="91.5" customHeight="1">
      <x:c r="A70" s="16" t="s">
        <x:v>437</x:v>
      </x:c>
      <x:c r="B70" s="17" t="s">
        <x:v>150</x:v>
      </x:c>
      <x:c r="C70" s="17" t="s">
        <x:v>438</x:v>
      </x:c>
      <x:c r="D70" s="17" t="s">
        <x:v>152</x:v>
      </x:c>
      <x:c r="E70" s="18" t="s">
        <x:v>439</x:v>
      </x:c>
      <x:c r="F70" s="19" t="str">
        <x:v>2</x:v>
      </x:c>
      <x:c r="G70" s="19" t="str">
        <x:v>HIST</x:v>
      </x:c>
      <x:c r="H70" s="19" t="str">
        <x:v>N</x:v>
      </x:c>
      <x:c r="I70" s="19" t="str">
        <x:v>Cough productivity/mucus is one attribute; blood in sputum is a second.</x:v>
      </x:c>
      <x:c r="J70" s="17" t="s">
        <x:v>438</x:v>
      </x:c>
    </x:row>
    <x:row r="71" ht="91.5" customHeight="1">
      <x:c r="A71" s="16" t="s">
        <x:v>440</x:v>
      </x:c>
      <x:c r="B71" s="17" t="s">
        <x:v>150</x:v>
      </x:c>
      <x:c r="C71" s="17" t="s">
        <x:v>441</x:v>
      </x:c>
      <x:c r="D71" s="17" t="s">
        <x:v>265</x:v>
      </x:c>
      <x:c r="E71" s="18" t="s">
        <x:v>442</x:v>
      </x:c>
      <x:c r="F71" s="19" t="str">
        <x:v>1</x:v>
      </x:c>
      <x:c r="G71" s="19" t="str">
        <x:v>HIST</x:v>
      </x:c>
      <x:c r="H71" s="19" t="str">
        <x:v>N</x:v>
      </x:c>
      <x:c r="I71" s="19" t="str"/>
      <x:c r="J71" s="17" t="s">
        <x:v>443</x:v>
      </x:c>
    </x:row>
    <x:row r="72" ht="91.5" customHeight="1">
      <x:c r="A72" s="16" t="s">
        <x:v>444</x:v>
      </x:c>
      <x:c r="B72" s="17" t="s">
        <x:v>134</x:v>
      </x:c>
      <x:c r="C72" s="17" t="s">
        <x:v>445</x:v>
      </x:c>
      <x:c r="D72" s="17" t="s">
        <x:v>446</x:v>
      </x:c>
      <x:c r="E72" s="18" t="s">
        <x:v>447</x:v>
      </x:c>
      <x:c r="F72" s="19" t="str">
        <x:v>2</x:v>
      </x:c>
      <x:c r="G72" s="19" t="str">
        <x:v>HIST</x:v>
      </x:c>
      <x:c r="H72" s="19" t="str">
        <x:v>N</x:v>
      </x:c>
      <x:c r="I72" s="19" t="str">
        <x:v>Smoking and vaping.</x:v>
      </x:c>
      <x:c r="J72" s="17" t="s">
        <x:v>448</x:v>
      </x:c>
    </x:row>
    <x:row r="73" ht="91.5" customHeight="1">
      <x:c r="A73" s="16" t="s">
        <x:v>449</x:v>
      </x:c>
      <x:c r="B73" s="17" t="s">
        <x:v>116</x:v>
      </x:c>
      <x:c r="C73" s="17" t="s">
        <x:v>450</x:v>
      </x:c>
      <x:c r="D73" s="17" t="s">
        <x:v>451</x:v>
      </x:c>
      <x:c r="E73" s="18" t="s">
        <x:v>452</x:v>
      </x:c>
      <x:c r="F73" s="19" t="str">
        <x:v>2</x:v>
      </x:c>
      <x:c r="G73" s="19" t="str">
        <x:v>HIST</x:v>
      </x:c>
      <x:c r="H73" s="19" t="str">
        <x:v>N</x:v>
      </x:c>
      <x:c r="I73" s="19" t="str">
        <x:v>Underlying medical conditions and immunosuppressive medications/exposures.</x:v>
      </x:c>
      <x:c r="J73" s="17" t="s">
        <x:v>453</x:v>
      </x:c>
    </x:row>
    <x:row r="74" ht="91.5" customHeight="1">
      <x:c r="A74" s="16" t="s">
        <x:v>454</x:v>
      </x:c>
      <x:c r="B74" s="17" t="s">
        <x:v>150</x:v>
      </x:c>
      <x:c r="C74" s="17" t="s">
        <x:v>455</x:v>
      </x:c>
      <x:c r="D74" s="17" t="s">
        <x:v>456</x:v>
      </x:c>
      <x:c r="E74" s="18" t="s">
        <x:v>457</x:v>
      </x:c>
      <x:c r="F74" s="19" t="str">
        <x:v>2</x:v>
      </x:c>
      <x:c r="G74" s="19" t="str">
        <x:v>HIST</x:v>
      </x:c>
      <x:c r="H74" s="19" t="str">
        <x:v>N</x:v>
      </x:c>
      <x:c r="I74" s="19" t="str">
        <x:v>Pain character and exact location.</x:v>
      </x:c>
      <x:c r="J74" s="17" t="s">
        <x:v>455</x:v>
      </x:c>
    </x:row>
    <x:row r="75" ht="91.5" customHeight="1">
      <x:c r="A75" s="16" t="s">
        <x:v>458</x:v>
      </x:c>
      <x:c r="B75" s="17" t="s">
        <x:v>134</x:v>
      </x:c>
      <x:c r="C75" s="17" t="s">
        <x:v>459</x:v>
      </x:c>
      <x:c r="D75" s="17" t="s">
        <x:v>460</x:v>
      </x:c>
      <x:c r="E75" s="18" t="s">
        <x:v>461</x:v>
      </x:c>
      <x:c r="F75" s="19" t="str">
        <x:v>0</x:v>
      </x:c>
      <x:c r="G75" s="19" t="str">
        <x:v>CLOSE</x:v>
      </x:c>
      <x:c r="H75" s="19" t="str">
        <x:v>N</x:v>
      </x:c>
      <x:c r="I75" s="19" t="str">
        <x:v>Late-consultation summary of the reported symptoms.</x:v>
      </x:c>
      <x:c r="J75" s="17" t="s">
        <x:v>462</x:v>
      </x:c>
    </x:row>
    <x:row r="76" ht="91.5" customHeight="1">
      <x:c r="A76" s="16" t="s">
        <x:v>463</x:v>
      </x:c>
      <x:c r="B76" s="17" t="s">
        <x:v>150</x:v>
      </x:c>
      <x:c r="C76" s="17" t="s">
        <x:v>464</x:v>
      </x:c>
      <x:c r="D76" s="17" t="s">
        <x:v>265</x:v>
      </x:c>
      <x:c r="E76" s="18" t="s">
        <x:v>465</x:v>
      </x:c>
      <x:c r="F76" s="19" t="str">
        <x:v>2</x:v>
      </x:c>
      <x:c r="G76" s="19" t="str">
        <x:v>HIST</x:v>
      </x:c>
      <x:c r="H76" s="19" t="str">
        <x:v>N</x:v>
      </x:c>
      <x:c r="I76" s="19" t="str">
        <x:v>Nocturnal waking and morning worsening.</x:v>
      </x:c>
      <x:c r="J76" s="17" t="s">
        <x:v>466</x:v>
      </x:c>
    </x:row>
    <x:row r="77" ht="91.5" customHeight="1">
      <x:c r="A77" s="16" t="s">
        <x:v>467</x:v>
      </x:c>
      <x:c r="B77" s="17" t="s">
        <x:v>116</x:v>
      </x:c>
      <x:c r="C77" s="17" t="s">
        <x:v>468</x:v>
      </x:c>
      <x:c r="D77" s="17" t="s">
        <x:v>469</x:v>
      </x:c>
      <x:c r="E77" s="18" t="s">
        <x:v>470</x:v>
      </x:c>
      <x:c r="F77" s="19" t="str">
        <x:v>0</x:v>
      </x:c>
      <x:c r="G77" s="19" t="str">
        <x:v>MGMT</x:v>
      </x:c>
      <x:c r="H77" s="19" t="str">
        <x:v>N</x:v>
      </x:c>
      <x:c r="I77" s="19" t="str"/>
      <x:c r="J77" s="17" t="s">
        <x:v>471</x:v>
      </x:c>
    </x:row>
    <x:row r="78" ht="91.5" customHeight="1">
      <x:c r="A78" s="16" t="s">
        <x:v>472</x:v>
      </x:c>
      <x:c r="B78" s="17" t="s">
        <x:v>116</x:v>
      </x:c>
      <x:c r="C78" s="17" t="s">
        <x:v>473</x:v>
      </x:c>
      <x:c r="D78" s="17" t="s">
        <x:v>265</x:v>
      </x:c>
      <x:c r="E78" s="18" t="s">
        <x:v>474</x:v>
      </x:c>
      <x:c r="F78" s="19" t="str">
        <x:v>1</x:v>
      </x:c>
      <x:c r="G78" s="19" t="str">
        <x:v>CLOSE</x:v>
      </x:c>
      <x:c r="H78" s="19" t="str">
        <x:v>N</x:v>
      </x:c>
      <x:c r="I78" s="19" t="str">
        <x:v>Recap followed by confirmation.</x:v>
      </x:c>
      <x:c r="J78" s="17" t="s">
        <x:v>475</x:v>
      </x:c>
    </x:row>
    <x:row r="79" ht="91.5" customHeight="1">
      <x:c r="A79" s="16" t="s">
        <x:v>476</x:v>
      </x:c>
      <x:c r="B79" s="17" t="s">
        <x:v>150</x:v>
      </x:c>
      <x:c r="C79" s="17" t="s">
        <x:v>477</x:v>
      </x:c>
      <x:c r="D79" s="17" t="s">
        <x:v>478</x:v>
      </x:c>
      <x:c r="E79" s="18" t="s">
        <x:v>479</x:v>
      </x:c>
      <x:c r="F79" s="19" t="str">
        <x:v>2</x:v>
      </x:c>
      <x:c r="G79" s="19" t="str">
        <x:v>HIST</x:v>
      </x:c>
      <x:c r="H79" s="19" t="str">
        <x:v>N</x:v>
      </x:c>
      <x:c r="I79" s="19" t="str">
        <x:v>Fever and chills.</x:v>
      </x:c>
      <x:c r="J79" s="17" t="s">
        <x:v>480</x:v>
      </x:c>
    </x:row>
    <x:row r="80" ht="91.5" customHeight="1">
      <x:c r="A80" s="16" t="s">
        <x:v>481</x:v>
      </x:c>
      <x:c r="B80" s="17" t="s">
        <x:v>134</x:v>
      </x:c>
      <x:c r="C80" s="17" t="s">
        <x:v>482</x:v>
      </x:c>
      <x:c r="D80" s="17" t="s">
        <x:v>483</x:v>
      </x:c>
      <x:c r="E80" s="18" t="s">
        <x:v>484</x:v>
      </x:c>
      <x:c r="F80" s="19" t="str">
        <x:v>1</x:v>
      </x:c>
      <x:c r="G80" s="19" t="str">
        <x:v>HIST</x:v>
      </x:c>
      <x:c r="H80" s="19" t="str">
        <x:v>N</x:v>
      </x:c>
      <x:c r="I80" s="19" t="str"/>
      <x:c r="J80" s="17" t="s">
        <x:v>485</x:v>
      </x:c>
    </x:row>
    <x:row r="81" ht="91.5" customHeight="1">
      <x:c r="A81" s="16" t="s">
        <x:v>486</x:v>
      </x:c>
      <x:c r="B81" s="17" t="s">
        <x:v>134</x:v>
      </x:c>
      <x:c r="C81" s="17" t="s">
        <x:v>487</x:v>
      </x:c>
      <x:c r="D81" s="17" t="s">
        <x:v>488</x:v>
      </x:c>
      <x:c r="E81" s="18" t="s">
        <x:v>489</x:v>
      </x:c>
      <x:c r="F81" s="19" t="str">
        <x:v>0</x:v>
      </x:c>
      <x:c r="G81" s="19" t="str">
        <x:v>OTHER</x:v>
      </x:c>
      <x:c r="H81" s="19" t="str">
        <x:v>N</x:v>
      </x:c>
      <x:c r="I81" s="19" t="str">
        <x:v>Frames the upcoming history-taking but asks no substantive question yet.</x:v>
      </x:c>
      <x:c r="J81" s="17" t="s">
        <x:v>490</x:v>
      </x:c>
    </x:row>
    <x:row r="82" ht="91.5" customHeight="1">
      <x:c r="A82" s="16" t="s">
        <x:v>491</x:v>
      </x:c>
      <x:c r="B82" s="17" t="s">
        <x:v>134</x:v>
      </x:c>
      <x:c r="C82" s="17" t="s">
        <x:v>492</x:v>
      </x:c>
      <x:c r="D82" s="17" t="s">
        <x:v>265</x:v>
      </x:c>
      <x:c r="E82" s="18" t="s">
        <x:v>493</x:v>
      </x:c>
      <x:c r="F82" s="19" t="str">
        <x:v>2</x:v>
      </x:c>
      <x:c r="G82" s="19" t="str">
        <x:v>HIST</x:v>
      </x:c>
      <x:c r="H82" s="19" t="str">
        <x:v>N</x:v>
      </x:c>
      <x:c r="I82" s="19" t="str">
        <x:v>Fever and whether the child is present for immediate assessment.</x:v>
      </x:c>
      <x:c r="J82" s="17" t="s">
        <x:v>494</x:v>
      </x:c>
    </x:row>
    <x:row r="83" ht="91.5" customHeight="1">
      <x:c r="A83" s="16" t="s">
        <x:v>495</x:v>
      </x:c>
      <x:c r="B83" s="17" t="s">
        <x:v>150</x:v>
      </x:c>
      <x:c r="C83" s="17" t="s">
        <x:v>496</x:v>
      </x:c>
      <x:c r="D83" s="17" t="s">
        <x:v>497</x:v>
      </x:c>
      <x:c r="E83" s="18" t="s">
        <x:v>498</x:v>
      </x:c>
      <x:c r="F83" s="19" t="str">
        <x:v>2</x:v>
      </x:c>
      <x:c r="G83" s="19" t="str">
        <x:v>HIST</x:v>
      </x:c>
      <x:c r="H83" s="19" t="str">
        <x:v>N</x:v>
      </x:c>
      <x:c r="I83" s="19" t="str">
        <x:v>Numbness and tingling.</x:v>
      </x:c>
      <x:c r="J83" s="17" t="s">
        <x:v>499</x:v>
      </x:c>
    </x:row>
    <x:row r="84" ht="91.5" customHeight="1">
      <x:c r="A84" s="16" t="s">
        <x:v>500</x:v>
      </x:c>
      <x:c r="B84" s="17" t="s">
        <x:v>150</x:v>
      </x:c>
      <x:c r="C84" s="17" t="s">
        <x:v>501</x:v>
      </x:c>
      <x:c r="D84" s="17" t="s">
        <x:v>502</x:v>
      </x:c>
      <x:c r="E84" s="18" t="s">
        <x:v>503</x:v>
      </x:c>
      <x:c r="F84" s="19" t="str">
        <x:v>1</x:v>
      </x:c>
      <x:c r="G84" s="19" t="str">
        <x:v>HIST</x:v>
      </x:c>
      <x:c r="H84" s="19" t="str">
        <x:v>N</x:v>
      </x:c>
      <x:c r="I84" s="19" t="str">
        <x:v>Two phrasings ask the same onset/duration timeline.</x:v>
      </x:c>
      <x:c r="J84" s="17" t="s">
        <x:v>501</x:v>
      </x:c>
    </x:row>
    <x:row r="85" ht="91.5" customHeight="1">
      <x:c r="A85" s="16" t="s">
        <x:v>504</x:v>
      </x:c>
      <x:c r="B85" s="17" t="s">
        <x:v>116</x:v>
      </x:c>
      <x:c r="C85" s="17" t="s">
        <x:v>505</x:v>
      </x:c>
      <x:c r="D85" s="17" t="s">
        <x:v>506</x:v>
      </x:c>
      <x:c r="E85" s="18" t="s">
        <x:v>507</x:v>
      </x:c>
      <x:c r="F85" s="19" t="str">
        <x:v>1</x:v>
      </x:c>
      <x:c r="G85" s="19" t="str">
        <x:v>HIST</x:v>
      </x:c>
      <x:c r="H85" s="19" t="str">
        <x:v>N</x:v>
      </x:c>
      <x:c r="I85" s="19" t="str"/>
      <x:c r="J85" s="17" t="s">
        <x:v>508</x:v>
      </x:c>
    </x:row>
    <x:row r="86" ht="91.5" customHeight="1">
      <x:c r="A86" s="16" t="s">
        <x:v>509</x:v>
      </x:c>
      <x:c r="B86" s="17" t="s">
        <x:v>116</x:v>
      </x:c>
      <x:c r="C86" s="17" t="s">
        <x:v>510</x:v>
      </x:c>
      <x:c r="D86" s="17" t="s">
        <x:v>511</x:v>
      </x:c>
      <x:c r="E86" s="18" t="s">
        <x:v>512</x:v>
      </x:c>
      <x:c r="F86" s="19" t="str">
        <x:v>1</x:v>
      </x:c>
      <x:c r="G86" s="19" t="str">
        <x:v>HIST</x:v>
      </x:c>
      <x:c r="H86" s="19" t="str">
        <x:v>N</x:v>
      </x:c>
      <x:c r="I86" s="19" t="str"/>
      <x:c r="J86" s="17" t="s">
        <x:v>513</x:v>
      </x:c>
    </x:row>
    <x:row r="87" ht="91.5" customHeight="1">
      <x:c r="A87" s="16" t="s">
        <x:v>514</x:v>
      </x:c>
      <x:c r="B87" s="17" t="s">
        <x:v>150</x:v>
      </x:c>
      <x:c r="C87" s="17" t="s">
        <x:v>515</x:v>
      </x:c>
      <x:c r="D87" s="17" t="s">
        <x:v>516</x:v>
      </x:c>
      <x:c r="E87" s="18" t="s">
        <x:v>517</x:v>
      </x:c>
      <x:c r="F87" s="19" t="str">
        <x:v>5+</x:v>
      </x:c>
      <x:c r="G87" s="19" t="str">
        <x:v>HIST</x:v>
      </x:c>
      <x:c r="H87" s="19" t="str">
        <x:v>N</x:v>
      </x:c>
      <x:c r="I87" s="19" t="str">
        <x:v>Fever, sore throat, breathing trouble, wheeze and ear pain.</x:v>
      </x:c>
      <x:c r="J87" s="17" t="s">
        <x:v>518</x:v>
      </x:c>
    </x:row>
    <x:row r="88" ht="91.5" customHeight="1">
      <x:c r="A88" s="16" t="s">
        <x:v>519</x:v>
      </x:c>
      <x:c r="B88" s="17" t="s">
        <x:v>116</x:v>
      </x:c>
      <x:c r="C88" s="17" t="s">
        <x:v>520</x:v>
      </x:c>
      <x:c r="D88" s="17" t="s">
        <x:v>521</x:v>
      </x:c>
      <x:c r="E88" s="18" t="s">
        <x:v>522</x:v>
      </x:c>
      <x:c r="F88" s="19" t="str">
        <x:v>1</x:v>
      </x:c>
      <x:c r="G88" s="19" t="str">
        <x:v>HIST</x:v>
      </x:c>
      <x:c r="H88" s="19" t="str">
        <x:v>N</x:v>
      </x:c>
      <x:c r="I88" s="19" t="str"/>
      <x:c r="J88" s="17" t="s">
        <x:v>523</x:v>
      </x:c>
    </x:row>
    <x:row r="89" ht="91.5" customHeight="1">
      <x:c r="A89" s="16" t="s">
        <x:v>524</x:v>
      </x:c>
      <x:c r="B89" s="17" t="s">
        <x:v>116</x:v>
      </x:c>
      <x:c r="C89" s="17" t="s">
        <x:v>525</x:v>
      </x:c>
      <x:c r="D89" s="17" t="s">
        <x:v>265</x:v>
      </x:c>
      <x:c r="E89" s="18" t="s">
        <x:v>526</x:v>
      </x:c>
      <x:c r="F89" s="19" t="str">
        <x:v>2</x:v>
      </x:c>
      <x:c r="G89" s="19" t="str">
        <x:v>HIST</x:v>
      </x:c>
      <x:c r="H89" s="19" t="str">
        <x:v>N</x:v>
      </x:c>
      <x:c r="I89" s="19" t="str">
        <x:v>Joint pain and muscle aches.</x:v>
      </x:c>
      <x:c r="J89" s="17" t="s">
        <x:v>527</x:v>
      </x:c>
    </x:row>
    <x:row r="90" ht="91.5" customHeight="1">
      <x:c r="A90" s="16" t="s">
        <x:v>528</x:v>
      </x:c>
      <x:c r="B90" s="17" t="s">
        <x:v>150</x:v>
      </x:c>
      <x:c r="C90" s="17" t="s">
        <x:v>529</x:v>
      </x:c>
      <x:c r="D90" s="17" t="s">
        <x:v>294</x:v>
      </x:c>
      <x:c r="E90" s="18" t="s">
        <x:v>530</x:v>
      </x:c>
      <x:c r="F90" s="19" t="str">
        <x:v>3</x:v>
      </x:c>
      <x:c r="G90" s="19" t="str">
        <x:v>HIST</x:v>
      </x:c>
      <x:c r="H90" s="19" t="str">
        <x:v>N</x:v>
      </x:c>
      <x:c r="I90" s="19" t="str">
        <x:v>Inability to speak full sentences, cyanosis, and ED attendance.</x:v>
      </x:c>
      <x:c r="J90" s="17" t="s">
        <x:v>531</x:v>
      </x:c>
    </x:row>
    <x:row r="91" ht="91.5" customHeight="1">
      <x:c r="A91" s="16" t="s">
        <x:v>532</x:v>
      </x:c>
      <x:c r="B91" s="17" t="s">
        <x:v>134</x:v>
      </x:c>
      <x:c r="C91" s="17" t="s">
        <x:v>533</x:v>
      </x:c>
      <x:c r="D91" s="17" t="s">
        <x:v>406</x:v>
      </x:c>
      <x:c r="E91" s="18" t="s">
        <x:v>534</x:v>
      </x:c>
      <x:c r="F91" s="19" t="str">
        <x:v>1</x:v>
      </x:c>
      <x:c r="G91" s="19" t="str">
        <x:v>CLOSE</x:v>
      </x:c>
      <x:c r="H91" s="19" t="str">
        <x:v>N</x:v>
      </x:c>
      <x:c r="I91" s="19" t="str">
        <x:v>Recap followed by confirmation.</x:v>
      </x:c>
      <x:c r="J91" s="17" t="s">
        <x:v>535</x:v>
      </x:c>
    </x:row>
    <x:row r="92" ht="91.5" customHeight="1">
      <x:c r="A92" s="16" t="s">
        <x:v>536</x:v>
      </x:c>
      <x:c r="B92" s="17" t="s">
        <x:v>150</x:v>
      </x:c>
      <x:c r="C92" s="17" t="s">
        <x:v>537</x:v>
      </x:c>
      <x:c r="D92" s="17" t="s">
        <x:v>265</x:v>
      </x:c>
      <x:c r="E92" s="18" t="s">
        <x:v>538</x:v>
      </x:c>
      <x:c r="F92" s="19" t="str">
        <x:v>2</x:v>
      </x:c>
      <x:c r="G92" s="19" t="str">
        <x:v>HIST</x:v>
      </x:c>
      <x:c r="H92" s="19" t="str">
        <x:v>Y</x:v>
      </x:c>
      <x:c r="I92" s="19" t="str">
        <x:v>Wording is malformed, but it appears to ask about cough and sore throat.</x:v>
      </x:c>
      <x:c r="J92" s="17" t="s">
        <x:v>539</x:v>
      </x:c>
    </x:row>
    <x:row r="93" ht="91.5" customHeight="1">
      <x:c r="A93" s="16" t="s">
        <x:v>540</x:v>
      </x:c>
      <x:c r="B93" s="17" t="s">
        <x:v>116</x:v>
      </x:c>
      <x:c r="C93" s="17" t="s">
        <x:v>541</x:v>
      </x:c>
      <x:c r="D93" s="17" t="s">
        <x:v>542</x:v>
      </x:c>
      <x:c r="E93" s="18" t="s">
        <x:v>543</x:v>
      </x:c>
      <x:c r="F93" s="19" t="str">
        <x:v>2</x:v>
      </x:c>
      <x:c r="G93" s="19" t="str">
        <x:v>HIST</x:v>
      </x:c>
      <x:c r="H93" s="19" t="str">
        <x:v>N</x:v>
      </x:c>
      <x:c r="I93" s="19" t="str">
        <x:v>Age and feeding/drinking status.</x:v>
      </x:c>
      <x:c r="J93" s="17" t="s">
        <x:v>544</x:v>
      </x:c>
    </x:row>
    <x:row r="94" ht="91.5" customHeight="1">
      <x:c r="A94" s="16" t="s">
        <x:v>545</x:v>
      </x:c>
      <x:c r="B94" s="17" t="s">
        <x:v>150</x:v>
      </x:c>
      <x:c r="C94" s="17" t="s">
        <x:v>546</x:v>
      </x:c>
      <x:c r="D94" s="17" t="s">
        <x:v>547</x:v>
      </x:c>
      <x:c r="E94" s="18" t="s">
        <x:v>548</x:v>
      </x:c>
      <x:c r="F94" s="19" t="str">
        <x:v>1</x:v>
      </x:c>
      <x:c r="G94" s="19" t="str">
        <x:v>HIST</x:v>
      </x:c>
      <x:c r="H94" s="19" t="str">
        <x:v>N</x:v>
      </x:c>
      <x:c r="I94" s="19" t="str"/>
      <x:c r="J94" s="17" t="s">
        <x:v>549</x:v>
      </x:c>
    </x:row>
    <x:row r="95" ht="91.5" customHeight="1">
      <x:c r="A95" s="16" t="s">
        <x:v>550</x:v>
      </x:c>
      <x:c r="B95" s="17" t="s">
        <x:v>150</x:v>
      </x:c>
      <x:c r="C95" s="17" t="s">
        <x:v>551</x:v>
      </x:c>
      <x:c r="D95" s="17" t="s">
        <x:v>552</x:v>
      </x:c>
      <x:c r="E95" s="18" t="s">
        <x:v>553</x:v>
      </x:c>
      <x:c r="F95" s="19" t="str">
        <x:v>0</x:v>
      </x:c>
      <x:c r="G95" s="19" t="str">
        <x:v>CLOSE</x:v>
      </x:c>
      <x:c r="H95" s="19" t="str">
        <x:v>N</x:v>
      </x:c>
      <x:c r="I95" s="19" t="str">
        <x:v>Summarizes the history and functional impact.</x:v>
      </x:c>
      <x:c r="J95" s="17" t="s">
        <x:v>554</x:v>
      </x:c>
    </x:row>
    <x:row r="96" ht="91.5" customHeight="1">
      <x:c r="A96" s="16" t="s">
        <x:v>555</x:v>
      </x:c>
      <x:c r="B96" s="17" t="s">
        <x:v>150</x:v>
      </x:c>
      <x:c r="C96" s="17" t="s">
        <x:v>556</x:v>
      </x:c>
      <x:c r="D96" s="17" t="s">
        <x:v>557</x:v>
      </x:c>
      <x:c r="E96" s="18" t="s">
        <x:v>558</x:v>
      </x:c>
      <x:c r="F96" s="19" t="str">
        <x:v>1</x:v>
      </x:c>
      <x:c r="G96" s="19" t="str">
        <x:v>HIST</x:v>
      </x:c>
      <x:c r="H96" s="19" t="str">
        <x:v>N</x:v>
      </x:c>
      <x:c r="I96" s="19" t="str"/>
      <x:c r="J96" s="17" t="s">
        <x:v>559</x:v>
      </x:c>
    </x:row>
    <x:row r="97" ht="91.5" customHeight="1">
      <x:c r="A97" s="16" t="s">
        <x:v>560</x:v>
      </x:c>
      <x:c r="B97" s="17" t="s">
        <x:v>134</x:v>
      </x:c>
      <x:c r="C97" s="17" t="s">
        <x:v>561</x:v>
      </x:c>
      <x:c r="D97" s="17" t="s">
        <x:v>562</x:v>
      </x:c>
      <x:c r="E97" s="18" t="s">
        <x:v>563</x:v>
      </x:c>
      <x:c r="F97" s="19" t="str">
        <x:v>1</x:v>
      </x:c>
      <x:c r="G97" s="19" t="str">
        <x:v>HIST</x:v>
      </x:c>
      <x:c r="H97" s="19" t="str">
        <x:v>N</x:v>
      </x:c>
      <x:c r="I97" s="19" t="str"/>
      <x:c r="J97" s="17" t="s">
        <x:v>564</x:v>
      </x:c>
    </x:row>
    <x:row r="98" ht="91.5" customHeight="1">
      <x:c r="A98" s="16" t="s">
        <x:v>565</x:v>
      </x:c>
      <x:c r="B98" s="17" t="s">
        <x:v>116</x:v>
      </x:c>
      <x:c r="C98" s="17" t="s">
        <x:v>566</x:v>
      </x:c>
      <x:c r="D98" s="17" t="s">
        <x:v>567</x:v>
      </x:c>
      <x:c r="E98" s="18" t="s">
        <x:v>568</x:v>
      </x:c>
      <x:c r="F98" s="19" t="str">
        <x:v>1</x:v>
      </x:c>
      <x:c r="G98" s="19" t="str">
        <x:v>HIST</x:v>
      </x:c>
      <x:c r="H98" s="19" t="str">
        <x:v>N</x:v>
      </x:c>
      <x:c r="I98" s="19" t="str">
        <x:v>Clarifies the duration of 'last few days'.</x:v>
      </x:c>
      <x:c r="J98" s="17" t="s">
        <x:v>569</x:v>
      </x:c>
    </x:row>
    <x:row r="99" ht="91.5" customHeight="1">
      <x:c r="A99" s="16" t="s">
        <x:v>570</x:v>
      </x:c>
      <x:c r="B99" s="17" t="s">
        <x:v>116</x:v>
      </x:c>
      <x:c r="C99" s="17" t="s">
        <x:v>571</x:v>
      </x:c>
      <x:c r="D99" s="17" t="s">
        <x:v>572</x:v>
      </x:c>
      <x:c r="E99" s="18" t="s">
        <x:v>573</x:v>
      </x:c>
      <x:c r="F99" s="19" t="str">
        <x:v>0</x:v>
      </x:c>
      <x:c r="G99" s="19" t="str">
        <x:v>MGMT</x:v>
      </x:c>
      <x:c r="H99" s="19" t="str">
        <x:v>N</x:v>
      </x:c>
      <x:c r="I99" s="19" t="str"/>
      <x:c r="J99" s="17" t="s">
        <x:v>574</x:v>
      </x:c>
    </x:row>
    <x:row r="100" ht="91.5" customHeight="1">
      <x:c r="A100" s="16" t="s">
        <x:v>575</x:v>
      </x:c>
      <x:c r="B100" s="17" t="s">
        <x:v>134</x:v>
      </x:c>
      <x:c r="C100" s="17" t="s">
        <x:v>576</x:v>
      </x:c>
      <x:c r="D100" s="17" t="s">
        <x:v>577</x:v>
      </x:c>
      <x:c r="E100" s="18" t="s">
        <x:v>578</x:v>
      </x:c>
      <x:c r="F100" s="19" t="str">
        <x:v>1</x:v>
      </x:c>
      <x:c r="G100" s="19" t="str">
        <x:v>HIST</x:v>
      </x:c>
      <x:c r="H100" s="19" t="str">
        <x:v>N</x:v>
      </x:c>
      <x:c r="I100" s="19" t="str">
        <x:v>Dietary pattern is one domain.</x:v>
      </x:c>
      <x:c r="J100" s="17" t="s">
        <x:v>579</x:v>
      </x:c>
    </x:row>
    <x:row r="101" ht="91.5" customHeight="1">
      <x:c r="A101" s="16" t="s">
        <x:v>580</x:v>
      </x:c>
      <x:c r="B101" s="17" t="s">
        <x:v>150</x:v>
      </x:c>
      <x:c r="C101" s="17" t="s">
        <x:v>581</x:v>
      </x:c>
      <x:c r="D101" s="17" t="s">
        <x:v>265</x:v>
      </x:c>
      <x:c r="E101" s="18" t="s">
        <x:v>582</x:v>
      </x:c>
      <x:c r="F101" s="19" t="str">
        <x:v>1</x:v>
      </x:c>
      <x:c r="G101" s="19" t="str">
        <x:v>HIST</x:v>
      </x:c>
      <x:c r="H101" s="19" t="str">
        <x:v>N</x:v>
      </x:c>
      <x:c r="I101" s="19" t="str"/>
      <x:c r="J101" s="17" t="s">
        <x:v>583</x:v>
      </x:c>
    </x:row>
    <x:row r="102" ht="91.5" customHeight="1">
      <x:c r="A102" s="16" t="s">
        <x:v>584</x:v>
      </x:c>
      <x:c r="B102" s="17" t="s">
        <x:v>116</x:v>
      </x:c>
      <x:c r="C102" s="17" t="s">
        <x:v>525</x:v>
      </x:c>
      <x:c r="D102" s="17" t="s">
        <x:v>265</x:v>
      </x:c>
      <x:c r="E102" s="18" t="s">
        <x:v>585</x:v>
      </x:c>
      <x:c r="F102" s="19" t="str">
        <x:v>3</x:v>
      </x:c>
      <x:c r="G102" s="19" t="str">
        <x:v>HIST</x:v>
      </x:c>
      <x:c r="H102" s="19" t="str">
        <x:v>N</x:v>
      </x:c>
      <x:c r="I102" s="19" t="str">
        <x:v>Muscle aches, joint aches and generalized body pains.</x:v>
      </x:c>
      <x:c r="J102" s="17" t="s">
        <x:v>527</x:v>
      </x:c>
    </x:row>
    <x:row r="103" ht="91.5" customHeight="1">
      <x:c r="A103" s="16" t="s">
        <x:v>586</x:v>
      </x:c>
      <x:c r="B103" s="17" t="s">
        <x:v>134</x:v>
      </x:c>
      <x:c r="C103" s="17" t="s">
        <x:v>587</x:v>
      </x:c>
      <x:c r="D103" s="17" t="s">
        <x:v>588</x:v>
      </x:c>
      <x:c r="E103" s="18" t="s">
        <x:v>589</x:v>
      </x:c>
      <x:c r="F103" s="19" t="str">
        <x:v>2</x:v>
      </x:c>
      <x:c r="G103" s="19" t="str">
        <x:v>HIST</x:v>
      </x:c>
      <x:c r="H103" s="19" t="str">
        <x:v>N</x:v>
      </x:c>
      <x:c r="I103" s="19" t="str">
        <x:v>Frequency of vaping and marijuana use.</x:v>
      </x:c>
      <x:c r="J103" s="17" t="s">
        <x:v>590</x:v>
      </x:c>
    </x:row>
    <x:row r="104" ht="91.5" customHeight="1">
      <x:c r="A104" s="16" t="s">
        <x:v>591</x:v>
      </x:c>
      <x:c r="B104" s="17" t="s">
        <x:v>150</x:v>
      </x:c>
      <x:c r="C104" s="17" t="s">
        <x:v>592</x:v>
      </x:c>
      <x:c r="D104" s="17" t="s">
        <x:v>593</x:v>
      </x:c>
      <x:c r="E104" s="18" t="s">
        <x:v>594</x:v>
      </x:c>
      <x:c r="F104" s="19" t="str">
        <x:v>0</x:v>
      </x:c>
      <x:c r="G104" s="19" t="str">
        <x:v>MGMT</x:v>
      </x:c>
      <x:c r="H104" s="19" t="str">
        <x:v>N</x:v>
      </x:c>
      <x:c r="I104" s="19" t="str"/>
      <x:c r="J104" s="17" t="s">
        <x:v>595</x:v>
      </x:c>
    </x:row>
    <x:row r="105" ht="91.5" customHeight="1">
      <x:c r="A105" s="16" t="s">
        <x:v>596</x:v>
      </x:c>
      <x:c r="B105" s="17" t="s">
        <x:v>150</x:v>
      </x:c>
      <x:c r="C105" s="17" t="s">
        <x:v>597</x:v>
      </x:c>
      <x:c r="D105" s="17" t="s">
        <x:v>598</x:v>
      </x:c>
      <x:c r="E105" s="18" t="s">
        <x:v>599</x:v>
      </x:c>
      <x:c r="F105" s="19" t="str">
        <x:v>1</x:v>
      </x:c>
      <x:c r="G105" s="19" t="str">
        <x:v>HIST</x:v>
      </x:c>
      <x:c r="H105" s="19" t="str">
        <x:v>N</x:v>
      </x:c>
      <x:c r="I105" s="19" t="str">
        <x:v>Alternative day counts clarify the same onset time.</x:v>
      </x:c>
      <x:c r="J105" s="17" t="s">
        <x:v>600</x:v>
      </x:c>
    </x:row>
    <x:row r="106" ht="91.5" customHeight="1">
      <x:c r="A106" s="16" t="s">
        <x:v>601</x:v>
      </x:c>
      <x:c r="B106" s="17" t="s">
        <x:v>116</x:v>
      </x:c>
      <x:c r="C106" s="17" t="s">
        <x:v>602</x:v>
      </x:c>
      <x:c r="D106" s="17" t="s">
        <x:v>211</x:v>
      </x:c>
      <x:c r="E106" s="18" t="s">
        <x:v>603</x:v>
      </x:c>
      <x:c r="F106" s="19" t="str">
        <x:v>1</x:v>
      </x:c>
      <x:c r="G106" s="19" t="str">
        <x:v>HIST</x:v>
      </x:c>
      <x:c r="H106" s="19" t="str">
        <x:v>N</x:v>
      </x:c>
      <x:c r="I106" s="19" t="str"/>
      <x:c r="J106" s="17" t="s">
        <x:v>604</x:v>
      </x:c>
    </x:row>
    <x:row r="107" ht="91.5" customHeight="1">
      <x:c r="A107" s="16" t="s">
        <x:v>605</x:v>
      </x:c>
      <x:c r="B107" s="17" t="s">
        <x:v>150</x:v>
      </x:c>
      <x:c r="C107" s="17" t="s">
        <x:v>606</x:v>
      </x:c>
      <x:c r="D107" s="17" t="s">
        <x:v>607</x:v>
      </x:c>
      <x:c r="E107" s="18" t="s">
        <x:v>608</x:v>
      </x:c>
      <x:c r="F107" s="19" t="str">
        <x:v>4</x:v>
      </x:c>
      <x:c r="G107" s="19" t="str">
        <x:v>HIST</x:v>
      </x:c>
      <x:c r="H107" s="19" t="str">
        <x:v>N</x:v>
      </x:c>
      <x:c r="I107" s="19" t="str">
        <x:v>Location, character, duration, and relief with rest.</x:v>
      </x:c>
      <x:c r="J107" s="17" t="s">
        <x:v>609</x:v>
      </x:c>
    </x:row>
    <x:row r="108" ht="91.5" customHeight="1">
      <x:c r="A108" s="16" t="s">
        <x:v>610</x:v>
      </x:c>
      <x:c r="B108" s="17" t="s">
        <x:v>116</x:v>
      </x:c>
      <x:c r="C108" s="17" t="s">
        <x:v>611</x:v>
      </x:c>
      <x:c r="D108" s="17" t="s">
        <x:v>612</x:v>
      </x:c>
      <x:c r="E108" s="18" t="s">
        <x:v>613</x:v>
      </x:c>
      <x:c r="F108" s="19" t="str">
        <x:v>1</x:v>
      </x:c>
      <x:c r="G108" s="19" t="str">
        <x:v>HIST</x:v>
      </x:c>
      <x:c r="H108" s="19" t="str">
        <x:v>N</x:v>
      </x:c>
      <x:c r="I108" s="19" t="str"/>
      <x:c r="J108" s="17" t="s">
        <x:v>614</x:v>
      </x:c>
    </x:row>
    <x:row r="109" ht="91.5" customHeight="1">
      <x:c r="A109" s="16" t="s">
        <x:v>615</x:v>
      </x:c>
      <x:c r="B109" s="17" t="s">
        <x:v>116</x:v>
      </x:c>
      <x:c r="C109" s="17" t="s">
        <x:v>616</x:v>
      </x:c>
      <x:c r="D109" s="17" t="s">
        <x:v>617</x:v>
      </x:c>
      <x:c r="E109" s="18" t="s">
        <x:v>618</x:v>
      </x:c>
      <x:c r="F109" s="19" t="str">
        <x:v>1</x:v>
      </x:c>
      <x:c r="G109" s="19" t="str">
        <x:v>HIST</x:v>
      </x:c>
      <x:c r="H109" s="19" t="str">
        <x:v>N</x:v>
      </x:c>
      <x:c r="I109" s="19" t="str">
        <x:v>Medications/treatments are alternatives within one treatment-so-far request.</x:v>
      </x:c>
      <x:c r="J109" s="17" t="s">
        <x:v>619</x:v>
      </x:c>
    </x:row>
    <x:row r="110" ht="91.5" customHeight="1">
      <x:c r="A110" s="16" t="s">
        <x:v>620</x:v>
      </x:c>
      <x:c r="B110" s="17" t="s">
        <x:v>150</x:v>
      </x:c>
      <x:c r="C110" s="17" t="s">
        <x:v>621</x:v>
      </x:c>
      <x:c r="D110" s="17" t="s">
        <x:v>622</x:v>
      </x:c>
      <x:c r="E110" s="18" t="s">
        <x:v>623</x:v>
      </x:c>
      <x:c r="F110" s="19" t="str">
        <x:v>1</x:v>
      </x:c>
      <x:c r="G110" s="19" t="str">
        <x:v>HIST</x:v>
      </x:c>
      <x:c r="H110" s="19" t="str">
        <x:v>N</x:v>
      </x:c>
      <x:c r="I110" s="19" t="str"/>
      <x:c r="J110" s="17" t="s">
        <x:v>624</x:v>
      </x:c>
    </x:row>
    <x:row r="111" ht="91.5" customHeight="1">
      <x:c r="A111" s="16" t="s">
        <x:v>625</x:v>
      </x:c>
      <x:c r="B111" s="17" t="s">
        <x:v>134</x:v>
      </x:c>
      <x:c r="C111" s="17" t="s">
        <x:v>626</x:v>
      </x:c>
      <x:c r="D111" s="17" t="s">
        <x:v>627</x:v>
      </x:c>
      <x:c r="E111" s="18" t="s">
        <x:v>628</x:v>
      </x:c>
      <x:c r="F111" s="19" t="str">
        <x:v>1</x:v>
      </x:c>
      <x:c r="G111" s="19" t="str">
        <x:v>HIST</x:v>
      </x:c>
      <x:c r="H111" s="19" t="str">
        <x:v>N</x:v>
      </x:c>
      <x:c r="I111" s="19" t="str"/>
      <x:c r="J111" s="17" t="s">
        <x:v>629</x:v>
      </x:c>
    </x:row>
    <x:row r="112" ht="91.5" customHeight="1">
      <x:c r="A112" s="16" t="s">
        <x:v>630</x:v>
      </x:c>
      <x:c r="B112" s="17" t="s">
        <x:v>150</x:v>
      </x:c>
      <x:c r="C112" s="17" t="s">
        <x:v>631</x:v>
      </x:c>
      <x:c r="D112" s="17" t="s">
        <x:v>265</x:v>
      </x:c>
      <x:c r="E112" s="18" t="s">
        <x:v>632</x:v>
      </x:c>
      <x:c r="F112" s="19" t="str">
        <x:v>0</x:v>
      </x:c>
      <x:c r="G112" s="19" t="str">
        <x:v>ACK</x:v>
      </x:c>
      <x:c r="H112" s="19" t="str">
        <x:v>N</x:v>
      </x:c>
      <x:c r="I112" s="19" t="str">
        <x:v>Reflects the distinction between stable cough and worsening breathlessness/sputum.</x:v>
      </x:c>
      <x:c r="J112" s="17" t="s">
        <x:v>633</x:v>
      </x:c>
    </x:row>
    <x:row r="113" ht="91.5" customHeight="1">
      <x:c r="A113" s="16" t="s">
        <x:v>634</x:v>
      </x:c>
      <x:c r="B113" s="17" t="s">
        <x:v>150</x:v>
      </x:c>
      <x:c r="C113" s="17" t="s">
        <x:v>635</x:v>
      </x:c>
      <x:c r="D113" s="17" t="s">
        <x:v>636</x:v>
      </x:c>
      <x:c r="E113" s="18" t="s">
        <x:v>637</x:v>
      </x:c>
      <x:c r="F113" s="19" t="str">
        <x:v>1</x:v>
      </x:c>
      <x:c r="G113" s="19" t="str">
        <x:v>HIST</x:v>
      </x:c>
      <x:c r="H113" s="19" t="str">
        <x:v>N</x:v>
      </x:c>
      <x:c r="I113" s="19" t="str">
        <x:v>Stiffness/rigidity are synonymous descriptors.</x:v>
      </x:c>
      <x:c r="J113" s="17" t="s">
        <x:v>638</x:v>
      </x:c>
    </x:row>
    <x:row r="114" ht="91.5" customHeight="1">
      <x:c r="A114" s="16" t="s">
        <x:v>639</x:v>
      </x:c>
      <x:c r="B114" s="17" t="s">
        <x:v>150</x:v>
      </x:c>
      <x:c r="C114" s="17" t="s">
        <x:v>640</x:v>
      </x:c>
      <x:c r="D114" s="17" t="s">
        <x:v>641</x:v>
      </x:c>
      <x:c r="E114" s="18" t="s">
        <x:v>642</x:v>
      </x:c>
      <x:c r="F114" s="19" t="str">
        <x:v>1</x:v>
      </x:c>
      <x:c r="G114" s="19" t="str">
        <x:v>HIST</x:v>
      </x:c>
      <x:c r="H114" s="19" t="str">
        <x:v>N</x:v>
      </x:c>
      <x:c r="I114" s="19" t="str"/>
      <x:c r="J114" s="17" t="s">
        <x:v>643</x:v>
      </x:c>
    </x:row>
    <x:row r="115" ht="91.5" customHeight="1">
      <x:c r="A115" s="16" t="s">
        <x:v>644</x:v>
      </x:c>
      <x:c r="B115" s="17" t="s">
        <x:v>134</x:v>
      </x:c>
      <x:c r="C115" s="17" t="s">
        <x:v>645</x:v>
      </x:c>
      <x:c r="D115" s="17" t="s">
        <x:v>646</x:v>
      </x:c>
      <x:c r="E115" s="18" t="s">
        <x:v>647</x:v>
      </x:c>
      <x:c r="F115" s="19" t="str">
        <x:v>3</x:v>
      </x:c>
      <x:c r="G115" s="19" t="str">
        <x:v>HIST</x:v>
      </x:c>
      <x:c r="H115" s="19" t="str">
        <x:v>N</x:v>
      </x:c>
      <x:c r="I115" s="19" t="str">
        <x:v>Cannabis, vaping and other recreational drugs.</x:v>
      </x:c>
      <x:c r="J115" s="17" t="s">
        <x:v>648</x:v>
      </x:c>
    </x:row>
    <x:row r="116" ht="91.5" customHeight="1">
      <x:c r="A116" s="16" t="s">
        <x:v>649</x:v>
      </x:c>
      <x:c r="B116" s="17" t="s">
        <x:v>150</x:v>
      </x:c>
      <x:c r="C116" s="17" t="s">
        <x:v>185</x:v>
      </x:c>
      <x:c r="D116" s="17" t="s">
        <x:v>186</x:v>
      </x:c>
      <x:c r="E116" s="18" t="s">
        <x:v>650</x:v>
      </x:c>
      <x:c r="F116" s="19" t="str">
        <x:v>0</x:v>
      </x:c>
      <x:c r="G116" s="19" t="str">
        <x:v>MGMT</x:v>
      </x:c>
      <x:c r="H116" s="19" t="str">
        <x:v>N</x:v>
      </x:c>
      <x:c r="I116" s="19" t="str"/>
      <x:c r="J116" s="17" t="s">
        <x:v>188</x:v>
      </x:c>
    </x:row>
    <x:row r="117" ht="91.5" customHeight="1">
      <x:c r="A117" s="16" t="s">
        <x:v>651</x:v>
      </x:c>
      <x:c r="B117" s="17" t="s">
        <x:v>116</x:v>
      </x:c>
      <x:c r="C117" s="17" t="s">
        <x:v>652</x:v>
      </x:c>
      <x:c r="D117" s="17" t="s">
        <x:v>653</x:v>
      </x:c>
      <x:c r="E117" s="18" t="s">
        <x:v>654</x:v>
      </x:c>
      <x:c r="F117" s="19" t="str">
        <x:v>3</x:v>
      </x:c>
      <x:c r="G117" s="19" t="str">
        <x:v>HIST</x:v>
      </x:c>
      <x:c r="H117" s="19" t="str">
        <x:v>N</x:v>
      </x:c>
      <x:c r="I117" s="19" t="str">
        <x:v>Diarrhea frequency, ability to keep fluids down, and normal urination.</x:v>
      </x:c>
      <x:c r="J117" s="17" t="s">
        <x:v>655</x:v>
      </x:c>
    </x:row>
    <x:row r="118" ht="91.5" customHeight="1">
      <x:c r="A118" s="16" t="s">
        <x:v>656</x:v>
      </x:c>
      <x:c r="B118" s="17" t="s">
        <x:v>134</x:v>
      </x:c>
      <x:c r="C118" s="17" t="s">
        <x:v>657</x:v>
      </x:c>
      <x:c r="D118" s="17" t="s">
        <x:v>658</x:v>
      </x:c>
      <x:c r="E118" s="18" t="s">
        <x:v>659</x:v>
      </x:c>
      <x:c r="F118" s="19" t="str">
        <x:v>1</x:v>
      </x:c>
      <x:c r="G118" s="19" t="str">
        <x:v>HIST</x:v>
      </x:c>
      <x:c r="H118" s="19" t="str">
        <x:v>N</x:v>
      </x:c>
      <x:c r="I118" s="19" t="str"/>
      <x:c r="J118" s="17" t="s">
        <x:v>660</x:v>
      </x:c>
    </x:row>
    <x:row r="119" ht="91.5" customHeight="1">
      <x:c r="A119" s="16" t="s">
        <x:v>661</x:v>
      </x:c>
      <x:c r="B119" s="17" t="s">
        <x:v>116</x:v>
      </x:c>
      <x:c r="C119" s="17" t="s">
        <x:v>662</x:v>
      </x:c>
      <x:c r="D119" s="17" t="s">
        <x:v>663</x:v>
      </x:c>
      <x:c r="E119" s="18" t="s">
        <x:v>664</x:v>
      </x:c>
      <x:c r="F119" s="19" t="str">
        <x:v>0</x:v>
      </x:c>
      <x:c r="G119" s="19" t="str">
        <x:v>MGMT</x:v>
      </x:c>
      <x:c r="H119" s="19" t="str">
        <x:v>N</x:v>
      </x:c>
      <x:c r="I119" s="19" t="str">
        <x:v>Emergency safety escalation and instruction.</x:v>
      </x:c>
      <x:c r="J119" s="17" t="s">
        <x:v>665</x:v>
      </x:c>
    </x:row>
    <x:row r="120" ht="91.5" customHeight="1">
      <x:c r="A120" s="16" t="s">
        <x:v>666</x:v>
      </x:c>
      <x:c r="B120" s="17" t="s">
        <x:v>116</x:v>
      </x:c>
      <x:c r="C120" s="17" t="s">
        <x:v>667</x:v>
      </x:c>
      <x:c r="D120" s="17" t="s">
        <x:v>668</x:v>
      </x:c>
      <x:c r="E120" s="18" t="s">
        <x:v>669</x:v>
      </x:c>
      <x:c r="F120" s="19" t="str">
        <x:v>0</x:v>
      </x:c>
      <x:c r="G120" s="19" t="str">
        <x:v>MGMT</x:v>
      </x:c>
      <x:c r="H120" s="19" t="str">
        <x:v>N</x:v>
      </x:c>
      <x:c r="I120" s="19" t="str"/>
      <x:c r="J120" s="17" t="s">
        <x:v>670</x:v>
      </x:c>
    </x:row>
    <x:row r="121" ht="91.5" customHeight="1">
      <x:c r="A121" s="16" t="s">
        <x:v>671</x:v>
      </x:c>
      <x:c r="B121" s="17" t="s">
        <x:v>150</x:v>
      </x:c>
      <x:c r="C121" s="17" t="s">
        <x:v>672</x:v>
      </x:c>
      <x:c r="D121" s="17" t="s">
        <x:v>673</x:v>
      </x:c>
      <x:c r="E121" s="18" t="s">
        <x:v>674</x:v>
      </x:c>
      <x:c r="F121" s="19" t="str">
        <x:v>1</x:v>
      </x:c>
      <x:c r="G121" s="19" t="str">
        <x:v>HIST</x:v>
      </x:c>
      <x:c r="H121" s="19" t="str">
        <x:v>N</x:v>
      </x:c>
      <x:c r="I121" s="19" t="str"/>
      <x:c r="J121" s="17" t="s">
        <x:v>675</x:v>
      </x:c>
    </x:row>
    <x:row r="122" ht="91.5" customHeight="1">
      <x:c r="A122" s="16" t="s">
        <x:v>676</x:v>
      </x:c>
      <x:c r="B122" s="17" t="s">
        <x:v>134</x:v>
      </x:c>
      <x:c r="C122" s="17" t="s">
        <x:v>677</x:v>
      </x:c>
      <x:c r="D122" s="17" t="s">
        <x:v>678</x:v>
      </x:c>
      <x:c r="E122" s="18" t="s">
        <x:v>679</x:v>
      </x:c>
      <x:c r="F122" s="19" t="str">
        <x:v>0</x:v>
      </x:c>
      <x:c r="G122" s="19" t="str">
        <x:v>EXAM</x:v>
      </x:c>
      <x:c r="H122" s="19" t="str">
        <x:v>N</x:v>
      </x:c>
      <x:c r="I122" s="19" t="str"/>
      <x:c r="J122" s="17" t="s">
        <x:v>680</x:v>
      </x:c>
    </x:row>
    <x:row r="123" ht="91.5" customHeight="1">
      <x:c r="A123" s="16" t="s">
        <x:v>681</x:v>
      </x:c>
      <x:c r="B123" s="17" t="s">
        <x:v>116</x:v>
      </x:c>
      <x:c r="C123" s="17" t="s">
        <x:v>682</x:v>
      </x:c>
      <x:c r="D123" s="17" t="s">
        <x:v>265</x:v>
      </x:c>
      <x:c r="E123" s="18" t="s">
        <x:v>683</x:v>
      </x:c>
      <x:c r="F123" s="19" t="str">
        <x:v>2</x:v>
      </x:c>
      <x:c r="G123" s="19" t="str">
        <x:v>HIST</x:v>
      </x:c>
      <x:c r="H123" s="19" t="str">
        <x:v>N</x:v>
      </x:c>
      <x:c r="I123" s="19" t="str">
        <x:v>Joint pain and swelling.</x:v>
      </x:c>
      <x:c r="J123" s="17" t="s">
        <x:v>684</x:v>
      </x:c>
    </x:row>
    <x:row r="124" ht="91.5" customHeight="1">
      <x:c r="A124" s="16" t="s">
        <x:v>685</x:v>
      </x:c>
      <x:c r="B124" s="17" t="s">
        <x:v>134</x:v>
      </x:c>
      <x:c r="C124" s="17" t="s">
        <x:v>686</x:v>
      </x:c>
      <x:c r="D124" s="17" t="s">
        <x:v>687</x:v>
      </x:c>
      <x:c r="E124" s="18" t="s">
        <x:v>688</x:v>
      </x:c>
      <x:c r="F124" s="19" t="str">
        <x:v>4</x:v>
      </x:c>
      <x:c r="G124" s="19" t="str">
        <x:v>HIST</x:v>
      </x:c>
      <x:c r="H124" s="19" t="str">
        <x:v>N</x:v>
      </x:c>
      <x:c r="I124" s="19" t="str">
        <x:v>COVID testing, strep testing, neck glands, and tonsillar white patches.</x:v>
      </x:c>
      <x:c r="J124" s="17" t="s">
        <x:v>689</x:v>
      </x:c>
    </x:row>
    <x:row r="125" ht="91.5" customHeight="1">
      <x:c r="A125" s="16" t="s">
        <x:v>690</x:v>
      </x:c>
      <x:c r="B125" s="17" t="s">
        <x:v>150</x:v>
      </x:c>
      <x:c r="C125" s="17" t="s">
        <x:v>691</x:v>
      </x:c>
      <x:c r="D125" s="17" t="s">
        <x:v>692</x:v>
      </x:c>
      <x:c r="E125" s="18" t="s">
        <x:v>693</x:v>
      </x:c>
      <x:c r="F125" s="19" t="str">
        <x:v>0</x:v>
      </x:c>
      <x:c r="G125" s="19" t="str">
        <x:v>ACK</x:v>
      </x:c>
      <x:c r="H125" s="19" t="str">
        <x:v>N</x:v>
      </x:c>
      <x:c r="I125" s="19" t="str">
        <x:v>Summarizes pain character/modifiers without a new request.</x:v>
      </x:c>
      <x:c r="J125" s="17" t="s">
        <x:v>694</x:v>
      </x:c>
    </x:row>
    <x:row r="126" ht="91.5" customHeight="1">
      <x:c r="A126" s="16" t="s">
        <x:v>695</x:v>
      </x:c>
      <x:c r="B126" s="17" t="s">
        <x:v>116</x:v>
      </x:c>
      <x:c r="C126" s="17" t="s">
        <x:v>696</x:v>
      </x:c>
      <x:c r="D126" s="17" t="s">
        <x:v>265</x:v>
      </x:c>
      <x:c r="E126" s="18" t="s">
        <x:v>697</x:v>
      </x:c>
      <x:c r="F126" s="19" t="str">
        <x:v>2</x:v>
      </x:c>
      <x:c r="G126" s="19" t="str">
        <x:v>HIST</x:v>
      </x:c>
      <x:c r="H126" s="19" t="str">
        <x:v>N</x:v>
      </x:c>
      <x:c r="I126" s="19" t="str">
        <x:v>Shortness/difficulty breathing are overlapping descriptors; wheezing is distinct.</x:v>
      </x:c>
      <x:c r="J126" s="17" t="s">
        <x:v>698</x:v>
      </x:c>
    </x:row>
    <x:row r="127" ht="91.5" customHeight="1">
      <x:c r="A127" s="16" t="s">
        <x:v>699</x:v>
      </x:c>
      <x:c r="B127" s="17" t="s">
        <x:v>134</x:v>
      </x:c>
      <x:c r="C127" s="17" t="s">
        <x:v>700</x:v>
      </x:c>
      <x:c r="D127" s="17" t="s">
        <x:v>701</x:v>
      </x:c>
      <x:c r="E127" s="18" t="s">
        <x:v>702</x:v>
      </x:c>
      <x:c r="F127" s="19" t="str">
        <x:v>5+</x:v>
      </x:c>
      <x:c r="G127" s="19" t="str">
        <x:v>HIST</x:v>
      </x:c>
      <x:c r="H127" s="19" t="str">
        <x:v>N</x:v>
      </x:c>
      <x:c r="I127" s="19" t="str">
        <x:v>Auto-injector, recent exposure, hives, swelling, wheezing and breathing trouble.</x:v>
      </x:c>
      <x:c r="J127" s="17" t="s">
        <x:v>703</x:v>
      </x:c>
    </x:row>
    <x:row r="128" ht="91.5" customHeight="1">
      <x:c r="A128" s="16" t="s">
        <x:v>704</x:v>
      </x:c>
      <x:c r="B128" s="17" t="s">
        <x:v>150</x:v>
      </x:c>
      <x:c r="C128" s="17" t="s">
        <x:v>705</x:v>
      </x:c>
      <x:c r="D128" s="17" t="s">
        <x:v>265</x:v>
      </x:c>
      <x:c r="E128" s="18" t="s">
        <x:v>706</x:v>
      </x:c>
      <x:c r="F128" s="19" t="str">
        <x:v>2</x:v>
      </x:c>
      <x:c r="G128" s="19" t="str">
        <x:v>HIST</x:v>
      </x:c>
      <x:c r="H128" s="19" t="str">
        <x:v>N</x:v>
      </x:c>
      <x:c r="I128" s="19" t="str">
        <x:v>Fever and chills.</x:v>
      </x:c>
      <x:c r="J128" s="17" t="s">
        <x:v>707</x:v>
      </x:c>
    </x:row>
    <x:row r="129" ht="91.5" customHeight="1">
      <x:c r="A129" s="16" t="s">
        <x:v>708</x:v>
      </x:c>
      <x:c r="B129" s="17" t="s">
        <x:v>116</x:v>
      </x:c>
      <x:c r="C129" s="17" t="s">
        <x:v>709</x:v>
      </x:c>
      <x:c r="D129" s="17" t="s">
        <x:v>710</x:v>
      </x:c>
      <x:c r="E129" s="18" t="s">
        <x:v>711</x:v>
      </x:c>
      <x:c r="F129" s="19" t="str">
        <x:v>1</x:v>
      </x:c>
      <x:c r="G129" s="19" t="str">
        <x:v>HIST</x:v>
      </x:c>
      <x:c r="H129" s="19" t="str">
        <x:v>N</x:v>
      </x:c>
      <x:c r="I129" s="19" t="str"/>
      <x:c r="J129" s="17" t="s">
        <x:v>712</x:v>
      </x:c>
    </x:row>
    <x:row r="130" ht="91.5" customHeight="1">
      <x:c r="A130" s="16" t="s">
        <x:v>713</x:v>
      </x:c>
      <x:c r="B130" s="17" t="s">
        <x:v>134</x:v>
      </x:c>
      <x:c r="C130" s="17" t="s">
        <x:v>714</x:v>
      </x:c>
      <x:c r="D130" s="17" t="s">
        <x:v>715</x:v>
      </x:c>
      <x:c r="E130" s="18" t="s">
        <x:v>716</x:v>
      </x:c>
      <x:c r="F130" s="19" t="str">
        <x:v>1</x:v>
      </x:c>
      <x:c r="G130" s="19" t="str">
        <x:v>HIST</x:v>
      </x:c>
      <x:c r="H130" s="19" t="str">
        <x:v>N</x:v>
      </x:c>
      <x:c r="I130" s="19" t="str"/>
      <x:c r="J130" s="17" t="s">
        <x:v>717</x:v>
      </x:c>
    </x:row>
    <x:row r="131" ht="91.5" customHeight="1">
      <x:c r="A131" s="16" t="s">
        <x:v>718</x:v>
      </x:c>
      <x:c r="B131" s="17" t="s">
        <x:v>116</x:v>
      </x:c>
      <x:c r="C131" s="17" t="s">
        <x:v>719</x:v>
      </x:c>
      <x:c r="D131" s="17" t="s">
        <x:v>265</x:v>
      </x:c>
      <x:c r="E131" s="18" t="s">
        <x:v>720</x:v>
      </x:c>
      <x:c r="F131" s="19" t="str">
        <x:v>2</x:v>
      </x:c>
      <x:c r="G131" s="19" t="str">
        <x:v>HIST</x:v>
      </x:c>
      <x:c r="H131" s="19" t="str">
        <x:v>N</x:v>
      </x:c>
      <x:c r="I131" s="19" t="str">
        <x:v>Flu and COVID vaccination status.</x:v>
      </x:c>
      <x:c r="J131" s="17" t="s">
        <x:v>721</x:v>
      </x:c>
    </x:row>
    <x:row r="132" ht="91.5" customHeight="1">
      <x:c r="A132" s="16" t="s">
        <x:v>722</x:v>
      </x:c>
      <x:c r="B132" s="17" t="s">
        <x:v>150</x:v>
      </x:c>
      <x:c r="C132" s="17" t="s">
        <x:v>723</x:v>
      </x:c>
      <x:c r="D132" s="17" t="s">
        <x:v>724</x:v>
      </x:c>
      <x:c r="E132" s="18" t="s">
        <x:v>725</x:v>
      </x:c>
      <x:c r="F132" s="19" t="str">
        <x:v>0</x:v>
      </x:c>
      <x:c r="G132" s="19" t="str">
        <x:v>OTHER</x:v>
      </x:c>
      <x:c r="H132" s="19" t="str">
        <x:v>N</x:v>
      </x:c>
      <x:c r="I132" s="19" t="str">
        <x:v>Frames a need for further cough history but does not yet request a specific item.</x:v>
      </x:c>
      <x:c r="J132" s="17" t="s">
        <x:v>726</x:v>
      </x:c>
    </x:row>
    <x:row r="133" ht="91.5" customHeight="1">
      <x:c r="A133" s="16" t="s">
        <x:v>727</x:v>
      </x:c>
      <x:c r="B133" s="17" t="s">
        <x:v>116</x:v>
      </x:c>
      <x:c r="C133" s="17" t="s">
        <x:v>728</x:v>
      </x:c>
      <x:c r="D133" s="17" t="s">
        <x:v>729</x:v>
      </x:c>
      <x:c r="E133" s="18" t="s">
        <x:v>730</x:v>
      </x:c>
      <x:c r="F133" s="19" t="str">
        <x:v>1</x:v>
      </x:c>
      <x:c r="G133" s="19" t="str">
        <x:v>HIST</x:v>
      </x:c>
      <x:c r="H133" s="19" t="str">
        <x:v>N</x:v>
      </x:c>
      <x:c r="I133" s="19" t="str"/>
      <x:c r="J133" s="17" t="s">
        <x:v>731</x:v>
      </x:c>
    </x:row>
    <x:row r="134" ht="91.5" customHeight="1">
      <x:c r="A134" s="16" t="s">
        <x:v>732</x:v>
      </x:c>
      <x:c r="B134" s="17" t="s">
        <x:v>134</x:v>
      </x:c>
      <x:c r="C134" s="17" t="s">
        <x:v>733</x:v>
      </x:c>
      <x:c r="D134" s="17" t="s">
        <x:v>734</x:v>
      </x:c>
      <x:c r="E134" s="18" t="s">
        <x:v>735</x:v>
      </x:c>
      <x:c r="F134" s="19" t="str">
        <x:v>3</x:v>
      </x:c>
      <x:c r="G134" s="19" t="str">
        <x:v>HIST</x:v>
      </x:c>
      <x:c r="H134" s="19" t="str">
        <x:v>N</x:v>
      </x:c>
      <x:c r="I134" s="19" t="str">
        <x:v>Prior TB testing, BCG vaccination and latent-TB treatment.</x:v>
      </x:c>
      <x:c r="J134" s="17" t="s">
        <x:v>736</x:v>
      </x:c>
    </x:row>
    <x:row r="135" ht="91.5" customHeight="1">
      <x:c r="A135" s="16" t="s">
        <x:v>737</x:v>
      </x:c>
      <x:c r="B135" s="17" t="s">
        <x:v>134</x:v>
      </x:c>
      <x:c r="C135" s="17" t="s">
        <x:v>738</x:v>
      </x:c>
      <x:c r="D135" s="17" t="s">
        <x:v>739</x:v>
      </x:c>
      <x:c r="E135" s="18" t="s">
        <x:v>740</x:v>
      </x:c>
      <x:c r="F135" s="19" t="str">
        <x:v>0</x:v>
      </x:c>
      <x:c r="G135" s="19" t="str">
        <x:v>OTHER</x:v>
      </x:c>
      <x:c r="H135" s="19" t="str">
        <x:v>N</x:v>
      </x:c>
      <x:c r="I135" s="19" t="str">
        <x:v>Requests rephrasing due to misunderstanding rather than eliciting clinical history.</x:v>
      </x:c>
      <x:c r="J135" s="17" t="s">
        <x:v>741</x:v>
      </x:c>
    </x:row>
    <x:row r="136" ht="91.5" customHeight="1">
      <x:c r="A136" s="16" t="s">
        <x:v>742</x:v>
      </x:c>
      <x:c r="B136" s="17" t="s">
        <x:v>150</x:v>
      </x:c>
      <x:c r="C136" s="17" t="s">
        <x:v>743</x:v>
      </x:c>
      <x:c r="D136" s="17" t="s">
        <x:v>744</x:v>
      </x:c>
      <x:c r="E136" s="18" t="s">
        <x:v>745</x:v>
      </x:c>
      <x:c r="F136" s="19" t="str">
        <x:v>5+</x:v>
      </x:c>
      <x:c r="G136" s="19" t="str">
        <x:v>HIST</x:v>
      </x:c>
      <x:c r="H136" s="19" t="str">
        <x:v>Y</x:v>
      </x:c>
      <x:c r="I136" s="19" t="str">
        <x:v>Cell contains a malformed multi-turn transcript rather than one clinician turn; it includes multiple history requests.</x:v>
      </x:c>
      <x:c r="J136" s="17" t="s">
        <x:v>746</x:v>
      </x:c>
    </x:row>
    <x:row r="137" ht="91.5" customHeight="1">
      <x:c r="A137" s="16" t="s">
        <x:v>747</x:v>
      </x:c>
      <x:c r="B137" s="17" t="s">
        <x:v>150</x:v>
      </x:c>
      <x:c r="C137" s="17" t="s">
        <x:v>748</x:v>
      </x:c>
      <x:c r="D137" s="17" t="s">
        <x:v>749</x:v>
      </x:c>
      <x:c r="E137" s="18" t="s">
        <x:v>750</x:v>
      </x:c>
      <x:c r="F137" s="19" t="str">
        <x:v>4</x:v>
      </x:c>
      <x:c r="G137" s="19" t="str">
        <x:v>HIST</x:v>
      </x:c>
      <x:c r="H137" s="19" t="str">
        <x:v>N</x:v>
      </x:c>
      <x:c r="I137" s="19" t="str">
        <x:v>Fever, chills, chest pain and blood in sputum.</x:v>
      </x:c>
      <x:c r="J137" s="17" t="s">
        <x:v>748</x:v>
      </x:c>
    </x:row>
    <x:row r="138" ht="91.5" customHeight="1">
      <x:c r="A138" s="16" t="s">
        <x:v>751</x:v>
      </x:c>
      <x:c r="B138" s="17" t="s">
        <x:v>116</x:v>
      </x:c>
      <x:c r="C138" s="17" t="s">
        <x:v>752</x:v>
      </x:c>
      <x:c r="D138" s="17" t="s">
        <x:v>753</x:v>
      </x:c>
      <x:c r="E138" s="18" t="s">
        <x:v>754</x:v>
      </x:c>
      <x:c r="F138" s="19" t="str">
        <x:v>0</x:v>
      </x:c>
      <x:c r="G138" s="19" t="str">
        <x:v>MGMT</x:v>
      </x:c>
      <x:c r="H138" s="19" t="str">
        <x:v>N</x:v>
      </x:c>
      <x:c r="I138" s="19" t="str"/>
      <x:c r="J138" s="17" t="s">
        <x:v>755</x:v>
      </x:c>
    </x:row>
    <x:row r="139" ht="91.5" customHeight="1">
      <x:c r="A139" s="16" t="s">
        <x:v>756</x:v>
      </x:c>
      <x:c r="B139" s="17" t="s">
        <x:v>150</x:v>
      </x:c>
      <x:c r="C139" s="17" t="s">
        <x:v>757</x:v>
      </x:c>
      <x:c r="D139" s="17" t="s">
        <x:v>758</x:v>
      </x:c>
      <x:c r="E139" s="18" t="s">
        <x:v>759</x:v>
      </x:c>
      <x:c r="F139" s="19" t="str">
        <x:v>2</x:v>
      </x:c>
      <x:c r="G139" s="19" t="str">
        <x:v>HIST</x:v>
      </x:c>
      <x:c r="H139" s="19" t="str">
        <x:v>N</x:v>
      </x:c>
      <x:c r="I139" s="19" t="str">
        <x:v>Neck swelling and throat redness.</x:v>
      </x:c>
      <x:c r="J139" s="17" t="s">
        <x:v>760</x:v>
      </x:c>
    </x:row>
    <x:row r="140" ht="91.5" customHeight="1">
      <x:c r="A140" s="16" t="s">
        <x:v>761</x:v>
      </x:c>
      <x:c r="B140" s="17" t="s">
        <x:v>134</x:v>
      </x:c>
      <x:c r="C140" s="17" t="s">
        <x:v>762</x:v>
      </x:c>
      <x:c r="D140" s="17" t="s">
        <x:v>763</x:v>
      </x:c>
      <x:c r="E140" s="18" t="s">
        <x:v>764</x:v>
      </x:c>
      <x:c r="F140" s="19" t="str">
        <x:v>1</x:v>
      </x:c>
      <x:c r="G140" s="19" t="str">
        <x:v>MGMT</x:v>
      </x:c>
      <x:c r="H140" s="19" t="str">
        <x:v>N</x:v>
      </x:c>
      <x:c r="I140" s="19" t="str">
        <x:v>Examination/diagnostic framing dominates; one question asks about antibiotics since onset.</x:v>
      </x:c>
      <x:c r="J140" s="17" t="s">
        <x:v>765</x:v>
      </x:c>
    </x:row>
    <x:row r="141" ht="91.5" customHeight="1">
      <x:c r="A141" s="16" t="s">
        <x:v>766</x:v>
      </x:c>
      <x:c r="B141" s="17" t="s">
        <x:v>150</x:v>
      </x:c>
      <x:c r="C141" s="17" t="s">
        <x:v>767</x:v>
      </x:c>
      <x:c r="D141" s="17" t="s">
        <x:v>768</x:v>
      </x:c>
      <x:c r="E141" s="18" t="s">
        <x:v>769</x:v>
      </x:c>
      <x:c r="F141" s="19" t="str">
        <x:v>1</x:v>
      </x:c>
      <x:c r="G141" s="19" t="str">
        <x:v>HIST</x:v>
      </x:c>
      <x:c r="H141" s="19" t="str">
        <x:v>Y</x:v>
      </x:c>
      <x:c r="I141" s="19" t="str">
        <x:v>Cell includes both clinician and patient text; the clinician portion is a single confirmatory breathing question.</x:v>
      </x:c>
      <x:c r="J141" s="17" t="s">
        <x:v>767</x:v>
      </x:c>
    </x:row>
    <x:row r="142" ht="91.5" customHeight="1">
      <x:c r="A142" s="16" t="s">
        <x:v>770</x:v>
      </x:c>
      <x:c r="B142" s="17" t="s">
        <x:v>116</x:v>
      </x:c>
      <x:c r="C142" s="17" t="s">
        <x:v>771</x:v>
      </x:c>
      <x:c r="D142" s="17" t="s">
        <x:v>772</x:v>
      </x:c>
      <x:c r="E142" s="18" t="s">
        <x:v>773</x:v>
      </x:c>
      <x:c r="F142" s="19" t="str">
        <x:v>1</x:v>
      </x:c>
      <x:c r="G142" s="19" t="str">
        <x:v>HIST</x:v>
      </x:c>
      <x:c r="H142" s="19" t="str">
        <x:v>N</x:v>
      </x:c>
      <x:c r="I142" s="19" t="str">
        <x:v>Loss of smell/taste is treated as one combined symptom-onset request.</x:v>
      </x:c>
      <x:c r="J142" s="17" t="s">
        <x:v>774</x:v>
      </x:c>
    </x:row>
    <x:row r="143" ht="91.5" customHeight="1">
      <x:c r="A143" s="16" t="s">
        <x:v>775</x:v>
      </x:c>
      <x:c r="B143" s="17" t="s">
        <x:v>150</x:v>
      </x:c>
      <x:c r="C143" s="17" t="s">
        <x:v>776</x:v>
      </x:c>
      <x:c r="D143" s="17" t="s">
        <x:v>777</x:v>
      </x:c>
      <x:c r="E143" s="18" t="s">
        <x:v>778</x:v>
      </x:c>
      <x:c r="F143" s="19" t="str">
        <x:v>2</x:v>
      </x:c>
      <x:c r="G143" s="19" t="str">
        <x:v>HIST</x:v>
      </x:c>
      <x:c r="H143" s="19" t="str">
        <x:v>N</x:v>
      </x:c>
      <x:c r="I143" s="19" t="str">
        <x:v>Fever/hot feeling and chills/cold feeling.</x:v>
      </x:c>
      <x:c r="J143" s="17" t="s">
        <x:v>779</x:v>
      </x:c>
    </x:row>
    <x:row r="144" ht="91.5" customHeight="1">
      <x:c r="A144" s="16" t="s">
        <x:v>780</x:v>
      </x:c>
      <x:c r="B144" s="17" t="s">
        <x:v>134</x:v>
      </x:c>
      <x:c r="C144" s="17" t="s">
        <x:v>781</x:v>
      </x:c>
      <x:c r="D144" s="17" t="s">
        <x:v>782</x:v>
      </x:c>
      <x:c r="E144" s="18" t="s">
        <x:v>783</x:v>
      </x:c>
      <x:c r="F144" s="19" t="str">
        <x:v>2</x:v>
      </x:c>
      <x:c r="G144" s="19" t="str">
        <x:v>HIST</x:v>
      </x:c>
      <x:c r="H144" s="19" t="str">
        <x:v>N</x:v>
      </x:c>
      <x:c r="I144" s="19" t="str">
        <x:v>Current and past smoking.</x:v>
      </x:c>
      <x:c r="J144" s="17" t="s">
        <x:v>784</x:v>
      </x:c>
    </x:row>
    <x:row r="145" ht="91.5" customHeight="1">
      <x:c r="A145" s="16" t="s">
        <x:v>785</x:v>
      </x:c>
      <x:c r="B145" s="17" t="s">
        <x:v>134</x:v>
      </x:c>
      <x:c r="C145" s="17" t="s">
        <x:v>786</x:v>
      </x:c>
      <x:c r="D145" s="17" t="s">
        <x:v>787</x:v>
      </x:c>
      <x:c r="E145" s="18" t="s">
        <x:v>788</x:v>
      </x:c>
      <x:c r="F145" s="19" t="str">
        <x:v>1</x:v>
      </x:c>
      <x:c r="G145" s="19" t="str">
        <x:v>EXAM</x:v>
      </x:c>
      <x:c r="H145" s="19" t="str">
        <x:v>N</x:v>
      </x:c>
      <x:c r="I145" s="19" t="str">
        <x:v>Question is asked while palpating the area as part of the physical examination.</x:v>
      </x:c>
      <x:c r="J145" s="17" t="s">
        <x:v>789</x:v>
      </x:c>
    </x:row>
    <x:row r="146" ht="91.5" customHeight="1">
      <x:c r="A146" s="16" t="s">
        <x:v>790</x:v>
      </x:c>
      <x:c r="B146" s="17" t="s">
        <x:v>116</x:v>
      </x:c>
      <x:c r="C146" s="17" t="s">
        <x:v>791</x:v>
      </x:c>
      <x:c r="D146" s="17" t="s">
        <x:v>792</x:v>
      </x:c>
      <x:c r="E146" s="18" t="s">
        <x:v>793</x:v>
      </x:c>
      <x:c r="F146" s="19" t="str">
        <x:v>1</x:v>
      </x:c>
      <x:c r="G146" s="19" t="str">
        <x:v>HIST</x:v>
      </x:c>
      <x:c r="H146" s="19" t="str">
        <x:v>N</x:v>
      </x:c>
      <x:c r="I146" s="19" t="str"/>
      <x:c r="J146" s="17" t="s">
        <x:v>794</x:v>
      </x:c>
    </x:row>
    <x:row r="147" ht="91.5" customHeight="1">
      <x:c r="A147" s="16" t="s">
        <x:v>795</x:v>
      </x:c>
      <x:c r="B147" s="17" t="s">
        <x:v>150</x:v>
      </x:c>
      <x:c r="C147" s="17" t="s">
        <x:v>796</x:v>
      </x:c>
      <x:c r="D147" s="17" t="s">
        <x:v>265</x:v>
      </x:c>
      <x:c r="E147" s="18" t="s">
        <x:v>797</x:v>
      </x:c>
      <x:c r="F147" s="19" t="str">
        <x:v>0</x:v>
      </x:c>
      <x:c r="G147" s="19" t="str">
        <x:v>OTHER</x:v>
      </x:c>
      <x:c r="H147" s="19" t="str">
        <x:v>N</x:v>
      </x:c>
      <x:c r="I147" s="19" t="str">
        <x:v>Frames upcoming questions without asking for information yet.</x:v>
      </x:c>
      <x:c r="J147" s="17" t="s">
        <x:v>798</x:v>
      </x:c>
    </x:row>
    <x:row r="148" ht="91.5" customHeight="1">
      <x:c r="A148" s="16" t="s">
        <x:v>799</x:v>
      </x:c>
      <x:c r="B148" s="17" t="s">
        <x:v>134</x:v>
      </x:c>
      <x:c r="C148" s="17" t="s">
        <x:v>800</x:v>
      </x:c>
      <x:c r="D148" s="17" t="s">
        <x:v>265</x:v>
      </x:c>
      <x:c r="E148" s="18" t="s">
        <x:v>222</x:v>
      </x:c>
      <x:c r="F148" s="19" t="str">
        <x:v>0</x:v>
      </x:c>
      <x:c r="G148" s="19" t="str">
        <x:v>MGMT</x:v>
      </x:c>
      <x:c r="H148" s="19" t="str">
        <x:v>N</x:v>
      </x:c>
      <x:c r="I148" s="19" t="str"/>
      <x:c r="J148" s="17" t="s">
        <x:v>801</x:v>
      </x:c>
    </x:row>
    <x:row r="149" ht="91.5" customHeight="1">
      <x:c r="A149" s="16" t="s">
        <x:v>802</x:v>
      </x:c>
      <x:c r="B149" s="17" t="s">
        <x:v>116</x:v>
      </x:c>
      <x:c r="C149" s="17" t="s">
        <x:v>803</x:v>
      </x:c>
      <x:c r="D149" s="17" t="s">
        <x:v>265</x:v>
      </x:c>
      <x:c r="E149" s="18" t="s">
        <x:v>804</x:v>
      </x:c>
      <x:c r="F149" s="19" t="str">
        <x:v>1</x:v>
      </x:c>
      <x:c r="G149" s="19" t="str">
        <x:v>HIST</x:v>
      </x:c>
      <x:c r="H149" s="19" t="str">
        <x:v>N</x:v>
      </x:c>
      <x:c r="I149" s="19" t="str">
        <x:v>Elliptical follow-up asking about treatment/medication for eczema.</x:v>
      </x:c>
      <x:c r="J149" s="17" t="s">
        <x:v>805</x:v>
      </x:c>
    </x:row>
    <x:row r="150" ht="91.5" customHeight="1">
      <x:c r="A150" s="16" t="s">
        <x:v>806</x:v>
      </x:c>
      <x:c r="B150" s="17" t="s">
        <x:v>116</x:v>
      </x:c>
      <x:c r="C150" s="17" t="s">
        <x:v>807</x:v>
      </x:c>
      <x:c r="D150" s="17" t="s">
        <x:v>265</x:v>
      </x:c>
      <x:c r="E150" s="18" t="s">
        <x:v>808</x:v>
      </x:c>
      <x:c r="F150" s="19" t="str">
        <x:v>1</x:v>
      </x:c>
      <x:c r="G150" s="19" t="str">
        <x:v>HIST</x:v>
      </x:c>
      <x:c r="H150" s="19" t="str">
        <x:v>N</x:v>
      </x:c>
      <x:c r="I150" s="19" t="str"/>
      <x:c r="J150" s="17" t="s">
        <x:v>809</x:v>
      </x:c>
    </x:row>
    <x:row r="151" ht="91.5" customHeight="1">
      <x:c r="A151" s="16" t="s">
        <x:v>810</x:v>
      </x:c>
      <x:c r="B151" s="17" t="s">
        <x:v>116</x:v>
      </x:c>
      <x:c r="C151" s="17" t="s">
        <x:v>525</x:v>
      </x:c>
      <x:c r="D151" s="17" t="s">
        <x:v>265</x:v>
      </x:c>
      <x:c r="E151" s="18" t="s">
        <x:v>811</x:v>
      </x:c>
      <x:c r="F151" s="19" t="str">
        <x:v>1</x:v>
      </x:c>
      <x:c r="G151" s="19" t="str">
        <x:v>HIST</x:v>
      </x:c>
      <x:c r="H151" s="19" t="str">
        <x:v>N</x:v>
      </x:c>
      <x:c r="I151" s="19" t="str">
        <x:v>Transitions to medical history and asks about ongoing conditions.</x:v>
      </x:c>
      <x:c r="J151" s="17" t="s">
        <x:v>527</x:v>
      </x:c>
    </x:row>
    <x:row r="152" ht="91.5" customHeight="1">
      <x:c r="A152" s="16" t="s">
        <x:v>812</x:v>
      </x:c>
      <x:c r="B152" s="17" t="s">
        <x:v>116</x:v>
      </x:c>
      <x:c r="C152" s="17" t="s">
        <x:v>611</x:v>
      </x:c>
      <x:c r="D152" s="17" t="s">
        <x:v>612</x:v>
      </x:c>
      <x:c r="E152" s="18" t="s">
        <x:v>813</x:v>
      </x:c>
      <x:c r="F152" s="19" t="str">
        <x:v>3</x:v>
      </x:c>
      <x:c r="G152" s="19" t="str">
        <x:v>HIST</x:v>
      </x:c>
      <x:c r="H152" s="19" t="str">
        <x:v>N</x:v>
      </x:c>
      <x:c r="I152" s="19" t="str">
        <x:v>Fever, chills, and cold/viral symptoms.</x:v>
      </x:c>
      <x:c r="J152" s="17" t="s">
        <x:v>614</x:v>
      </x:c>
    </x:row>
    <x:row r="153" ht="91.5" customHeight="1">
      <x:c r="A153" s="16" t="s">
        <x:v>814</x:v>
      </x:c>
      <x:c r="B153" s="17" t="s">
        <x:v>150</x:v>
      </x:c>
      <x:c r="C153" s="17" t="s">
        <x:v>815</x:v>
      </x:c>
      <x:c r="D153" s="17" t="s">
        <x:v>816</x:v>
      </x:c>
      <x:c r="E153" s="18" t="s">
        <x:v>817</x:v>
      </x:c>
      <x:c r="F153" s="19" t="str">
        <x:v>1</x:v>
      </x:c>
      <x:c r="G153" s="19" t="str">
        <x:v>HIST</x:v>
      </x:c>
      <x:c r="H153" s="19" t="str">
        <x:v>N</x:v>
      </x:c>
      <x:c r="I153" s="19" t="str"/>
      <x:c r="J153" s="17" t="s">
        <x:v>818</x:v>
      </x:c>
    </x:row>
    <x:row r="154" ht="91.5" customHeight="1">
      <x:c r="A154" s="16" t="s">
        <x:v>819</x:v>
      </x:c>
      <x:c r="B154" s="17" t="s">
        <x:v>116</x:v>
      </x:c>
      <x:c r="C154" s="17" t="s">
        <x:v>820</x:v>
      </x:c>
      <x:c r="D154" s="17" t="s">
        <x:v>821</x:v>
      </x:c>
      <x:c r="E154" s="18" t="s">
        <x:v>822</x:v>
      </x:c>
      <x:c r="F154" s="19" t="str">
        <x:v>1</x:v>
      </x:c>
      <x:c r="G154" s="19" t="str">
        <x:v>CLOSE</x:v>
      </x:c>
      <x:c r="H154" s="19" t="str">
        <x:v>N</x:v>
      </x:c>
      <x:c r="I154" s="19" t="str">
        <x:v>Recap followed by confirmation.</x:v>
      </x:c>
      <x:c r="J154" s="17" t="s">
        <x:v>823</x:v>
      </x:c>
    </x:row>
  </x:sheetData>
  <x:dataValidations count="3">
    <x:dataValidation type="list" allowBlank="1" sqref="F5:F154">
      <x:formula1>"0,1,2,3,4,5+"</x:formula1>
      <x:formula2>0</x:formula2>
    </x:dataValidation>
    <x:dataValidation type="list" allowBlank="1" sqref="G5:G154">
      <x:formula1>"HIST,INTERP,EXAM,MGMT,CLOSE,ACK,OTHER"</x:formula1>
      <x:formula2>0</x:formula2>
    </x:dataValidation>
    <x:dataValidation type="list" allowBlank="1" sqref="H5:H154">
      <x:formula1>"Y,N"</x:formula1>
      <x:formula2>0</x:formula2>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ColWidth="8.6640625" defaultRowHeight="15"/>
  <x:cols>
    <x:col min="2" max="2" width="40" customWidth="1"/>
    <x:col min="3" max="3" width="16" customWidth="1"/>
  </x:cols>
  <x:sheetData>
    <x:row r="2" ht="18">
      <x:c r="B2" s="7" t="s">
        <x:v>824</x:v>
      </x:c>
    </x:row>
    <x:row r="3">
      <x:c r="B3" s="13" t="s">
        <x:v>825</x:v>
      </x:c>
    </x:row>
    <x:row r="5">
      <x:c r="B5" s="20" t="s">
        <x:v>826</x:v>
      </x:c>
      <x:c r="C5" s="10" t="n">
        <x:f>150</x:f>
        <x:v>150</x:v>
      </x:c>
    </x:row>
    <x:row r="6">
      <x:c r="B6" s="20" t="s">
        <x:v>827</x:v>
      </x:c>
      <x:c r="C6" s="10" t="n">
        <x:f>COUNTA('Coding Sheet'!F5:F154)</x:f>
        <x:v>150</x:v>
      </x:c>
    </x:row>
    <x:row r="7">
      <x:c r="B7" s="20" t="s">
        <x:v>828</x:v>
      </x:c>
      <x:c r="C7" s="10" t="n">
        <x:f>COUNTA('Coding Sheet'!G5:G154)</x:f>
        <x:v>150</x:v>
      </x:c>
    </x:row>
    <x:row r="8">
      <x:c r="B8" s="20" t="s">
        <x:v>829</x:v>
      </x:c>
      <x:c r="C8" s="10" t="n">
        <x:f>COUNTA('Coding Sheet'!H5:H154)</x:f>
        <x:v>150</x:v>
      </x:c>
    </x:row>
    <x:row r="9">
      <x:c r="B9" s="20" t="s">
        <x:v>830</x:v>
      </x:c>
      <x:c r="C9" s="10" t="n">
        <x:f>SUMPRODUCT(('Coding Sheet'!F5:F154&lt;&gt;"")*('Coding Sheet'!G5:G154&lt;&gt;"")*('Coding Sheet'!H5:H154&lt;&gt;""))</x:f>
        <x:v>121</x:v>
      </x:c>
    </x:row>
    <x:row r="10">
      <x:c r="B10" s="5" t="s">
        <x:v>831</x:v>
      </x:c>
      <x:c r="C10" s="10" t="n">
        <x:f>C5-C9</x:f>
        <x:v>29</x:v>
      </x:c>
    </x:row>
    <x:row r="11">
      <x:c r="B11" s="20" t="s">
        <x:v>832</x:v>
      </x:c>
      <x:c r="C11" s="21" t="n">
        <x:f>IFERROR(C9/C5,0)</x:f>
        <x:v>0.8066666666666666</x:v>
      </x:c>
    </x:row>
    <x:row r="12">
      <x:c r="B12" s="20" t="s">
        <x:v>833</x:v>
      </x:c>
      <x:c r="C12" s="10" t="n">
        <x:f>COUNTIF('Coding Sheet'!H5:H154,"Y")</x:f>
        <x:v>3</x:v>
      </x:c>
    </x:row>
  </x:sheetData>
  <x:pageMargins left="0.7" right="0.7" top="0.75" bottom="0.75" header="0.3" footer="0.3"/>
</x:worksheet>
</file>